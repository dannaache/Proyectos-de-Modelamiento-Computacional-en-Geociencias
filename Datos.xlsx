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Joshua\Shakti\quimica\GEOQUIMICA\CO2_CCUS\Geoquimica\data\Mediciones_VMM\"/>
    </mc:Choice>
  </mc:AlternateContent>
  <xr:revisionPtr revIDLastSave="0" documentId="13_ncr:1_{3D21B6DA-6471-4845-99BF-16AE71D79C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ua_mg" sheetId="1" r:id="rId1"/>
    <sheet name="TD_Agua(mg)" sheetId="7" r:id="rId2"/>
    <sheet name="Roca" sheetId="4" r:id="rId3"/>
    <sheet name="TD_Roca(%wgt)" sheetId="8" r:id="rId4"/>
    <sheet name="Sheet5" sheetId="10" r:id="rId5"/>
    <sheet name="Sheet7" sheetId="12" r:id="rId6"/>
    <sheet name="Sheet8" sheetId="13" r:id="rId7"/>
  </sheet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" i="13" l="1"/>
  <c r="R6" i="13"/>
  <c r="S6" i="13"/>
  <c r="T6" i="13"/>
  <c r="U6" i="13"/>
  <c r="V6" i="13"/>
  <c r="W6" i="13"/>
  <c r="X6" i="13"/>
  <c r="Y6" i="13"/>
  <c r="Z6" i="13"/>
  <c r="AA6" i="13"/>
  <c r="AB6" i="13"/>
  <c r="AC6" i="13"/>
  <c r="R7" i="13"/>
  <c r="S7" i="13"/>
  <c r="T7" i="13"/>
  <c r="U7" i="13"/>
  <c r="V7" i="13"/>
  <c r="W7" i="13"/>
  <c r="X7" i="13"/>
  <c r="Y7" i="13"/>
  <c r="Z7" i="13"/>
  <c r="AA7" i="13"/>
  <c r="AB7" i="13"/>
  <c r="AC7" i="13"/>
  <c r="R8" i="13"/>
  <c r="S8" i="13"/>
  <c r="T8" i="13"/>
  <c r="U8" i="13"/>
  <c r="V8" i="13"/>
  <c r="W8" i="13"/>
  <c r="X8" i="13"/>
  <c r="Y8" i="13"/>
  <c r="Z8" i="13"/>
  <c r="AA8" i="13"/>
  <c r="AB8" i="13"/>
  <c r="AC8" i="13"/>
  <c r="Z5" i="13"/>
  <c r="R5" i="13"/>
  <c r="S5" i="13"/>
  <c r="U5" i="13"/>
  <c r="V5" i="13"/>
  <c r="W5" i="13"/>
  <c r="X5" i="13"/>
  <c r="Y5" i="13"/>
  <c r="AA5" i="13"/>
  <c r="AB5" i="13"/>
  <c r="AC5" i="13"/>
  <c r="Q6" i="13"/>
  <c r="Q7" i="13"/>
  <c r="Q8" i="13"/>
  <c r="Q5" i="13"/>
  <c r="K5" i="8"/>
  <c r="J5" i="8"/>
  <c r="G4" i="12"/>
  <c r="F4" i="12"/>
</calcChain>
</file>

<file path=xl/sharedStrings.xml><?xml version="1.0" encoding="utf-8"?>
<sst xmlns="http://schemas.openxmlformats.org/spreadsheetml/2006/main" count="1488" uniqueCount="162">
  <si>
    <t>formacion</t>
  </si>
  <si>
    <t>Depth (m)</t>
  </si>
  <si>
    <t>pH</t>
  </si>
  <si>
    <t>Temperature (°C)</t>
  </si>
  <si>
    <t>Electric conductivity (mS/cm)</t>
  </si>
  <si>
    <t>Total dissolved solids (ppm)</t>
  </si>
  <si>
    <t>Na⁺ (mg/L)</t>
  </si>
  <si>
    <t>K⁺ (mg/L)</t>
  </si>
  <si>
    <t>Mg²⁺ (mg/L)</t>
  </si>
  <si>
    <t>Ca²⁺ (mg/L)</t>
  </si>
  <si>
    <t>Sr²⁺ (mg/L)</t>
  </si>
  <si>
    <t>Fe²⁺ (mg/L)</t>
  </si>
  <si>
    <t>Mn²⁺ (mg/L)</t>
  </si>
  <si>
    <t>Al³⁺ (mg/L)</t>
  </si>
  <si>
    <t>Cl⁻ (mg/L)</t>
  </si>
  <si>
    <t>HCO₃⁻ (mg/L)</t>
  </si>
  <si>
    <t>CO₃²⁻ (mg/L)</t>
  </si>
  <si>
    <t>Organic acids (mg/L)</t>
  </si>
  <si>
    <t>Mugrosa</t>
  </si>
  <si>
    <t>Tablazo y Rosablanca</t>
  </si>
  <si>
    <t>La Luna</t>
  </si>
  <si>
    <t>Umir</t>
  </si>
  <si>
    <t>Foramacion</t>
  </si>
  <si>
    <t>Cuarzo (%)</t>
  </si>
  <si>
    <t>Feldespato (%)</t>
  </si>
  <si>
    <t>Plagioclasa (%)</t>
  </si>
  <si>
    <t>Calcilta (%)</t>
  </si>
  <si>
    <t>Dolomita (%)</t>
  </si>
  <si>
    <t>Pirita (%)</t>
  </si>
  <si>
    <t>Arcilla total (%)</t>
  </si>
  <si>
    <t>Ilita (%)</t>
  </si>
  <si>
    <t>Esmectita (%)</t>
  </si>
  <si>
    <t>Clorita (%)</t>
  </si>
  <si>
    <t>Caolinita (%)</t>
  </si>
  <si>
    <t>Moscovita (%)</t>
  </si>
  <si>
    <t>Silice</t>
  </si>
  <si>
    <t>Chert(%)</t>
  </si>
  <si>
    <t>Yeso (%)</t>
  </si>
  <si>
    <t>Rosablanca</t>
  </si>
  <si>
    <t>Areniscas Basales Lisama</t>
  </si>
  <si>
    <t>Floresanto</t>
  </si>
  <si>
    <t>Esmeraldas</t>
  </si>
  <si>
    <t>Row Labels</t>
  </si>
  <si>
    <t>(blank)</t>
  </si>
  <si>
    <t>Grand Total</t>
  </si>
  <si>
    <t>Average of pH</t>
  </si>
  <si>
    <t>Average of Electric conductivity (mS/cm)</t>
  </si>
  <si>
    <t>Column Labels</t>
  </si>
  <si>
    <t>Values</t>
  </si>
  <si>
    <t>Average of Na⁺ (mg/L)</t>
  </si>
  <si>
    <t>Average of Mg²⁺ (mg/L)</t>
  </si>
  <si>
    <t>Average of Ca²⁺ (mg/L)</t>
  </si>
  <si>
    <t>Average of Fe²⁺ (mg/L)</t>
  </si>
  <si>
    <t>Average of Al³⁺ (mg/L)</t>
  </si>
  <si>
    <t>Average of Cl⁻ (mg/L)</t>
  </si>
  <si>
    <t>Average of HCO₃⁻ (mg/L)</t>
  </si>
  <si>
    <t>Average of CO₃²⁻ (mg/L)</t>
  </si>
  <si>
    <t>Average of Sulfates SO₄²⁻ (mg/L)</t>
  </si>
  <si>
    <t>Average of Mn²⁺ (mg/L)</t>
  </si>
  <si>
    <t>Average of K⁺ (mg/L)</t>
  </si>
  <si>
    <t>Average of Sr²⁺ (mg/L)</t>
  </si>
  <si>
    <t>Average of Temperature (°C)</t>
  </si>
  <si>
    <t>Average of Total dissolved solids (ppm)</t>
  </si>
  <si>
    <t>Average of Depth (m)</t>
  </si>
  <si>
    <t>nombre_pozo</t>
  </si>
  <si>
    <t>x</t>
  </si>
  <si>
    <t>y</t>
  </si>
  <si>
    <t>Cuenca</t>
  </si>
  <si>
    <t>profundidad</t>
  </si>
  <si>
    <t>porosidad_porcentaje</t>
  </si>
  <si>
    <t>ACORDIONERO-1</t>
  </si>
  <si>
    <t>Valle Medio del Magdalena</t>
  </si>
  <si>
    <t>ACORDIONERO-3</t>
  </si>
  <si>
    <t>-</t>
  </si>
  <si>
    <t>BUTURAMA-4</t>
  </si>
  <si>
    <t>La luna</t>
  </si>
  <si>
    <t>BUTURAMA-5</t>
  </si>
  <si>
    <t>Basal limestone</t>
  </si>
  <si>
    <t>Arcabuco</t>
  </si>
  <si>
    <t>CAGUI-1</t>
  </si>
  <si>
    <t>CAIMAN-1</t>
  </si>
  <si>
    <t>Rumiyaco</t>
  </si>
  <si>
    <t>CANTAGALLO-20</t>
  </si>
  <si>
    <t>Paja</t>
  </si>
  <si>
    <t>Rosa Blanca</t>
  </si>
  <si>
    <t>COCUYO-1</t>
  </si>
  <si>
    <t>COLON-1</t>
  </si>
  <si>
    <t>La Paz</t>
  </si>
  <si>
    <t>COLON6- ST</t>
  </si>
  <si>
    <t>UMIR SUPERIOR (K s Us SS)</t>
  </si>
  <si>
    <t>CRISOL-1</t>
  </si>
  <si>
    <t>Calcáreo superior</t>
  </si>
  <si>
    <t>CRISTALINA-1</t>
  </si>
  <si>
    <t>Cantagallo</t>
  </si>
  <si>
    <t>DONA MARIA-2</t>
  </si>
  <si>
    <t>Lisama</t>
  </si>
  <si>
    <t>GARZAS-2</t>
  </si>
  <si>
    <t>GUANE-1</t>
  </si>
  <si>
    <t>LA ESTANCIA-1</t>
  </si>
  <si>
    <t>Rosablanca Limestone</t>
  </si>
  <si>
    <t>LA RADA-1</t>
  </si>
  <si>
    <t>Sinú-San Jacinto</t>
  </si>
  <si>
    <t>LA ROMPIDA-3</t>
  </si>
  <si>
    <t>Valle Superior del Magdalena</t>
  </si>
  <si>
    <t>LUNA-1</t>
  </si>
  <si>
    <t>Tablazo</t>
  </si>
  <si>
    <t>MOCHUELO-1</t>
  </si>
  <si>
    <t>RUMBERO-1</t>
  </si>
  <si>
    <t>RUMBERO-1 ST</t>
  </si>
  <si>
    <t>Arenas Basakes</t>
  </si>
  <si>
    <t>SABAL-1</t>
  </si>
  <si>
    <t>Valle Inferior del Magdalena</t>
  </si>
  <si>
    <t>Simiti</t>
  </si>
  <si>
    <t>SANTA CATALINA-1</t>
  </si>
  <si>
    <t>Real</t>
  </si>
  <si>
    <t>Colorado</t>
  </si>
  <si>
    <t>Esmeraldas- La Paz</t>
  </si>
  <si>
    <t>SIMITI-3</t>
  </si>
  <si>
    <t>Chrro</t>
  </si>
  <si>
    <t>TAGUI-1</t>
  </si>
  <si>
    <t>ABC arenas</t>
  </si>
  <si>
    <t>TISQUIRAMA ESTE-1</t>
  </si>
  <si>
    <t>TOPOSI-2</t>
  </si>
  <si>
    <t>Average of porosidad_porcentaje</t>
  </si>
  <si>
    <t>StdDev of porosidad_porcentaje2</t>
  </si>
  <si>
    <t>Count of porosidad_porcentaje</t>
  </si>
  <si>
    <t>Average of Cuarzo (%)</t>
  </si>
  <si>
    <t>Average of Feldespato (%)</t>
  </si>
  <si>
    <t>Average of Plagioclasa (%)</t>
  </si>
  <si>
    <t>Average of Calcilta (%)</t>
  </si>
  <si>
    <t>Average of Dolomita (%)</t>
  </si>
  <si>
    <t>Average of Pirita (%)</t>
  </si>
  <si>
    <t>Average of Arcilla total (%)</t>
  </si>
  <si>
    <t>Average of Ilita (%)</t>
  </si>
  <si>
    <t>Average of Esmectita (%)</t>
  </si>
  <si>
    <t>Average of Clorita (%)</t>
  </si>
  <si>
    <t>Average of Caolinita (%)</t>
  </si>
  <si>
    <t>Average of Moscovita (%)</t>
  </si>
  <si>
    <t>Average of Silice</t>
  </si>
  <si>
    <t>Average of Chert(%)</t>
  </si>
  <si>
    <t>Weigth of Feldespato (mg/L)</t>
  </si>
  <si>
    <t>Weigth of Plagioclasa (mg/L)</t>
  </si>
  <si>
    <t>Weight of Calcilta (mg/l)</t>
  </si>
  <si>
    <t>Weight of Dolomita (mg/L)</t>
  </si>
  <si>
    <t>Weigth of Pirita (mg/L)</t>
  </si>
  <si>
    <t>Weigth of Arcilla total (mg/l)</t>
  </si>
  <si>
    <t>Weigth of Ilita (mg/L)</t>
  </si>
  <si>
    <t>Weigth of Esmectita (mg/L)</t>
  </si>
  <si>
    <t>Weight of Clorita (mg/l)</t>
  </si>
  <si>
    <t>Weigth of Caolinita (mg/L)</t>
  </si>
  <si>
    <t>Weigth of Moscovita (mg/L)</t>
  </si>
  <si>
    <t>Weigth of Silice (mg/L)</t>
  </si>
  <si>
    <t>Weigth of Chert (mg/L)</t>
  </si>
  <si>
    <t>Count of Foramacion</t>
  </si>
  <si>
    <t>min</t>
  </si>
  <si>
    <t>max</t>
  </si>
  <si>
    <t>StdDev of Cuarzo (%)</t>
  </si>
  <si>
    <t>SO₄²⁻ (mg/L)</t>
  </si>
  <si>
    <t>S²⁻ (mg/L)</t>
  </si>
  <si>
    <t>NO²⁻ (mg/L)</t>
  </si>
  <si>
    <t>NO³⁻ (mg/L)</t>
  </si>
  <si>
    <r>
      <t>SiO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(mg/L)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</si>
</sst>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9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José Romero" refreshedDate="46169.489164236111" createdVersion="8" refreshedVersion="8" minRefreshableVersion="3" recordCount="24" xr:uid="{235545FD-70E4-4113-B449-7F9A8075DE98}">
  <cacheSource type="worksheet">
    <worksheetSource ref="A1:X25" sheet="Agua_mg"/>
  </cacheSource>
  <cacheFields count="24">
    <cacheField name="formacion" numFmtId="0">
      <sharedItems containsBlank="1" count="5">
        <s v="Mugrosa"/>
        <s v="Tablazo y Rosablanca"/>
        <m/>
        <s v="La Luna"/>
        <s v="Umir"/>
      </sharedItems>
    </cacheField>
    <cacheField name="Depth (m)" numFmtId="0">
      <sharedItems containsString="0" containsBlank="1" containsNumber="1" containsInteger="1" minValue="793" maxValue="1951" count="6">
        <n v="1828"/>
        <n v="1798"/>
        <n v="793"/>
        <n v="1463"/>
        <n v="1951"/>
        <m/>
      </sharedItems>
    </cacheField>
    <cacheField name="pH" numFmtId="0">
      <sharedItems containsString="0" containsBlank="1" containsNumber="1" minValue="5.5" maxValue="8.33" count="22">
        <n v="6.89"/>
        <n v="6.54"/>
        <n v="6.04"/>
        <n v="6.23"/>
        <n v="6.41"/>
        <n v="6.8"/>
        <n v="6.72"/>
        <n v="7.65"/>
        <n v="8.1"/>
        <n v="6.21"/>
        <n v="6"/>
        <n v="6.3"/>
        <n v="5.74"/>
        <n v="5.66"/>
        <n v="6.64"/>
        <n v="6.2"/>
        <m/>
        <n v="7"/>
        <n v="5.5"/>
        <n v="7.37"/>
        <n v="8.33"/>
        <n v="7.43"/>
      </sharedItems>
    </cacheField>
    <cacheField name="Temperature (°C)" numFmtId="0">
      <sharedItems containsString="0" containsBlank="1" containsNumber="1" minValue="25.7" maxValue="26.5"/>
    </cacheField>
    <cacheField name="Electric conductivity (mS/cm)" numFmtId="0">
      <sharedItems containsString="0" containsBlank="1" containsNumber="1" minValue="9.01" maxValue="91.3"/>
    </cacheField>
    <cacheField name="Total dissolved solids (ppm)" numFmtId="0">
      <sharedItems containsString="0" containsBlank="1" containsNumber="1" minValue="51.887" maxValue="69024"/>
    </cacheField>
    <cacheField name="Na⁺ (mg/L)" numFmtId="0">
      <sharedItems containsSemiMixedTypes="0" containsString="0" containsNumber="1" minValue="4165" maxValue="25850" count="24">
        <n v="20691"/>
        <n v="19657"/>
        <n v="18261"/>
        <n v="12280"/>
        <n v="16328"/>
        <n v="15013"/>
        <n v="21019"/>
        <n v="13916"/>
        <n v="4165"/>
        <n v="11111"/>
        <n v="20482"/>
        <n v="20595"/>
        <n v="18622"/>
        <n v="17532"/>
        <n v="18350"/>
        <n v="25286"/>
        <n v="25850"/>
        <n v="25400"/>
        <n v="21248.1"/>
        <n v="6254"/>
        <n v="14818"/>
        <n v="25010"/>
        <n v="22680"/>
        <n v="9950"/>
      </sharedItems>
    </cacheField>
    <cacheField name="K⁺ (mg/L)" numFmtId="0">
      <sharedItems containsString="0" containsBlank="1" containsNumber="1" minValue="14.22" maxValue="5219" count="22">
        <n v="49.67"/>
        <n v="54.83"/>
        <n v="46.3"/>
        <n v="39.83"/>
        <n v="56.74"/>
        <n v="84.46"/>
        <n v="195.71"/>
        <n v="63.39"/>
        <n v="14.22"/>
        <n v="141.33000000000001"/>
        <n v="67.260000000000005"/>
        <n v="42.6"/>
        <n v="4124"/>
        <n v="3918"/>
        <n v="3979"/>
        <n v="3052"/>
        <n v="2536"/>
        <n v="5219"/>
        <m/>
        <n v="1990"/>
        <n v="2830"/>
        <n v="72.400000000000006"/>
      </sharedItems>
    </cacheField>
    <cacheField name="Mg²⁺ (mg/L)" numFmtId="0">
      <sharedItems containsSemiMixedTypes="0" containsString="0" containsNumber="1" minValue="41.18" maxValue="1340"/>
    </cacheField>
    <cacheField name="Ca²⁺ (mg/L)" numFmtId="0">
      <sharedItems containsSemiMixedTypes="0" containsString="0" containsNumber="1" minValue="5.2" maxValue="14425"/>
    </cacheField>
    <cacheField name="Sr²⁺ (mg/L)" numFmtId="0">
      <sharedItems containsString="0" containsBlank="1" containsNumber="1" minValue="5.01" maxValue="431"/>
    </cacheField>
    <cacheField name="Fe²⁺ (mg/L)" numFmtId="0">
      <sharedItems containsString="0" containsBlank="1" containsNumber="1" minValue="0.26" maxValue="100"/>
    </cacheField>
    <cacheField name="Mn²⁺ (mg/L)" numFmtId="0">
      <sharedItems containsString="0" containsBlank="1" containsNumber="1" minValue="0.2" maxValue="15.31"/>
    </cacheField>
    <cacheField name="Al³⁺ (mg/L)" numFmtId="0">
      <sharedItems containsString="0" containsBlank="1" containsNumber="1" minValue="0.5" maxValue="0.5"/>
    </cacheField>
    <cacheField name="Cl⁻ (mg/L)" numFmtId="0">
      <sharedItems containsSemiMixedTypes="0" containsString="0" containsNumber="1" minValue="43" maxValue="57092"/>
    </cacheField>
    <cacheField name="HCO₃⁻ (mg/L)" numFmtId="0">
      <sharedItems containsSemiMixedTypes="0" containsString="0" containsNumber="1" minValue="36.61" maxValue="3350"/>
    </cacheField>
    <cacheField name="CO₃²⁻ (mg/L)" numFmtId="0">
      <sharedItems containsString="0" containsBlank="1" containsNumber="1" minValue="0" maxValue="145"/>
    </cacheField>
    <cacheField name="Sulfates SO₄²⁻ (mg/L)" numFmtId="0">
      <sharedItems containsSemiMixedTypes="0" containsString="0" containsNumber="1" minValue="2.17" maxValue="2060"/>
    </cacheField>
    <cacheField name="Sulphides S²⁻ (mg/L)" numFmtId="0">
      <sharedItems containsString="0" containsBlank="1" containsNumber="1" minValue="0" maxValue="13.06"/>
    </cacheField>
    <cacheField name="Nitrates No3-" numFmtId="0">
      <sharedItems containsNonDate="0" containsString="0" containsBlank="1" count="1">
        <m/>
      </sharedItems>
    </cacheField>
    <cacheField name="Nitrites No2-" numFmtId="0">
      <sharedItems containsNonDate="0" containsString="0" containsBlank="1" count="1">
        <m/>
      </sharedItems>
    </cacheField>
    <cacheField name="Organic acids (mg/L)" numFmtId="0">
      <sharedItems containsString="0" containsBlank="1" containsNumber="1" minValue="3840.02" maxValue="26800.46"/>
    </cacheField>
    <cacheField name="Silicon Dioxide SiO2" numFmtId="0">
      <sharedItems containsString="0" containsBlank="1" containsNumber="1" minValue="9.41" maxValue="99"/>
    </cacheField>
    <cacheField name="EB" numFmtId="0">
      <sharedItems containsSemiMixedTypes="0" containsString="0" containsNumber="1" minValue="-29.57550898738489" maxValue="99.5679534339550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José Romero" refreshedDate="46169.507651736109" createdVersion="8" refreshedVersion="8" minRefreshableVersion="3" recordCount="21" xr:uid="{68251935-E051-4C95-9B65-62966124351B}">
  <cacheSource type="worksheet">
    <worksheetSource ref="A1:O22" sheet="Roca"/>
  </cacheSource>
  <cacheFields count="15">
    <cacheField name="Foramacion" numFmtId="0">
      <sharedItems count="6">
        <s v="Rosablanca"/>
        <s v="Areniscas Basales Lisama"/>
        <s v="La Luna"/>
        <s v="Floresanto"/>
        <s v="Mugrosa"/>
        <s v="Esmeraldas"/>
      </sharedItems>
    </cacheField>
    <cacheField name="Cuarzo (%)" numFmtId="0">
      <sharedItems containsString="0" containsBlank="1" containsNumber="1" minValue="27" maxValue="89.9"/>
    </cacheField>
    <cacheField name="Feldespato (%)" numFmtId="0">
      <sharedItems containsString="0" containsBlank="1" containsNumber="1" minValue="0" maxValue="13"/>
    </cacheField>
    <cacheField name="Plagioclasa (%)" numFmtId="0">
      <sharedItems containsString="0" containsBlank="1" containsNumber="1" minValue="0.6" maxValue="1.7"/>
    </cacheField>
    <cacheField name="Calcilta (%)" numFmtId="0">
      <sharedItems containsString="0" containsBlank="1" containsNumber="1" minValue="0" maxValue="50"/>
    </cacheField>
    <cacheField name="Dolomita (%)" numFmtId="0">
      <sharedItems containsString="0" containsBlank="1" containsNumber="1" containsInteger="1" minValue="0" maxValue="6"/>
    </cacheField>
    <cacheField name="Pirita (%)" numFmtId="0">
      <sharedItems containsString="0" containsBlank="1" containsNumber="1" containsInteger="1" minValue="0" maxValue="3"/>
    </cacheField>
    <cacheField name="Arcilla total (%)" numFmtId="0">
      <sharedItems containsString="0" containsBlank="1" containsNumber="1" minValue="3.7" maxValue="45"/>
    </cacheField>
    <cacheField name="Ilita (%)" numFmtId="0">
      <sharedItems containsString="0" containsBlank="1" containsNumber="1" minValue="1.1000000000000001" maxValue="2.4"/>
    </cacheField>
    <cacheField name="Esmectita (%)" numFmtId="0">
      <sharedItems containsString="0" containsBlank="1" containsNumber="1" containsInteger="1" minValue="1" maxValue="1"/>
    </cacheField>
    <cacheField name="Clorita (%)" numFmtId="0">
      <sharedItems containsString="0" containsBlank="1" containsNumber="1" minValue="0" maxValue="2.7"/>
    </cacheField>
    <cacheField name="Caolinita (%)" numFmtId="0">
      <sharedItems containsString="0" containsBlank="1" containsNumber="1" minValue="0" maxValue="24"/>
    </cacheField>
    <cacheField name="Moscovita (%)" numFmtId="0">
      <sharedItems containsString="0" containsBlank="1" containsNumber="1" containsInteger="1" minValue="4" maxValue="4"/>
    </cacheField>
    <cacheField name="Silice" numFmtId="0">
      <sharedItems containsString="0" containsBlank="1" containsNumber="1" containsInteger="1" minValue="4" maxValue="8"/>
    </cacheField>
    <cacheField name="Chert(%)" numFmtId="0">
      <sharedItems containsString="0" containsBlank="1" containsNumber="1" containsInteger="1" minValue="5" maxValue="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José Romero" refreshedDate="46169.520098148147" createdVersion="8" refreshedVersion="8" minRefreshableVersion="3" recordCount="439" xr:uid="{88C71E07-C997-4AC0-A45F-8F522B08A75A}">
  <cacheSource type="worksheet">
    <worksheetSource ref="A1:G440" sheet="Sheet5"/>
  </cacheSource>
  <cacheFields count="7">
    <cacheField name="nombre_pozo" numFmtId="0">
      <sharedItems/>
    </cacheField>
    <cacheField name="x" numFmtId="0">
      <sharedItems containsSemiMixedTypes="0" containsString="0" containsNumber="1" minValue="4660624.4479999999" maxValue="4938496.8090000004" count="27">
        <n v="4937413.6169999996"/>
        <n v="4937419.1050000004"/>
        <n v="4921350.5449999999"/>
        <n v="4927795.1859999998"/>
        <n v="4936454.5"/>
        <n v="4933523.2719999999"/>
        <n v="4896638.9069999997"/>
        <n v="4905805.2450000001"/>
        <n v="4919140.3880000003"/>
        <n v="4919176.7560000001"/>
        <n v="4925994.8849999998"/>
        <n v="4911389.1720000003"/>
        <n v="4920045.6260000002"/>
        <n v="4906224.4309999999"/>
        <n v="4911407.1469999999"/>
        <n v="4927162.2070000004"/>
        <n v="4660624.4479999999"/>
        <n v="4888860.6119999997"/>
        <n v="4911259.2259999998"/>
        <n v="4938496.8090000004"/>
        <n v="4937141.5070000002"/>
        <n v="4924885.0209999997"/>
        <n v="4920365"/>
        <n v="4906083"/>
        <n v="4922860"/>
        <n v="4935677"/>
        <n v="4926759"/>
      </sharedItems>
    </cacheField>
    <cacheField name="y" numFmtId="0">
      <sharedItems containsSemiMixedTypes="0" containsString="0" containsNumber="1" minValue="2349658.0219999999" maxValue="2587083.7379999999"/>
    </cacheField>
    <cacheField name="Cuenca" numFmtId="0">
      <sharedItems containsMixedTypes="1" containsNumber="1" containsInteger="1" minValue="0" maxValue="0"/>
    </cacheField>
    <cacheField name="formacion" numFmtId="0">
      <sharedItems count="27">
        <s v="Areniscas Basales Lisama"/>
        <s v="-"/>
        <s v="La luna"/>
        <s v="Basal limestone"/>
        <s v="Arcabuco"/>
        <s v="Rosablanca"/>
        <s v="Rumiyaco"/>
        <s v="Paja"/>
        <s v="Rosa Blanca"/>
        <s v="La Paz"/>
        <s v="Umir"/>
        <s v="UMIR SUPERIOR (K s Us SS)"/>
        <s v="Calcáreo superior"/>
        <s v="Cantagallo"/>
        <s v="Lisama"/>
        <s v="Rosablanca Limestone"/>
        <s v="Floresanto"/>
        <s v="Esmeraldas"/>
        <s v="Tablazo"/>
        <s v="Mugrosa"/>
        <s v="Arenas Basakes"/>
        <s v="Simiti"/>
        <s v="Real"/>
        <s v="Colorado"/>
        <s v="Esmeraldas- La Paz"/>
        <s v="Chrro"/>
        <s v="ABC arenas"/>
      </sharedItems>
    </cacheField>
    <cacheField name="profundidad" numFmtId="0">
      <sharedItems containsSemiMixedTypes="0" containsString="0" containsNumber="1" minValue="662.94" maxValue="9034"/>
    </cacheField>
    <cacheField name="porosidad_porcentaje" numFmtId="0">
      <sharedItems containsSemiMixedTypes="0" containsString="0" containsNumber="1" minValue="0" maxValue="3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n v="26.5"/>
    <n v="70.599999999999994"/>
    <n v="39290"/>
    <x v="0"/>
    <x v="0"/>
    <n v="129.55000000000001"/>
    <n v="4097.5"/>
    <n v="278.38"/>
    <n v="0.88"/>
    <n v="8.3699999999999992"/>
    <n v="0.5"/>
    <n v="23216.01"/>
    <n v="56.95"/>
    <n v="0"/>
    <n v="2.17"/>
    <n v="1"/>
    <x v="0"/>
    <x v="0"/>
    <n v="25198.9"/>
    <m/>
    <n v="1.8006395629826999"/>
  </r>
  <r>
    <x v="0"/>
    <x v="0"/>
    <x v="1"/>
    <n v="26.3"/>
    <n v="72.3"/>
    <n v="36730"/>
    <x v="1"/>
    <x v="1"/>
    <n v="191.43"/>
    <n v="3762.5"/>
    <n v="265"/>
    <n v="2.4"/>
    <n v="11.24"/>
    <n v="0.5"/>
    <n v="22693.71"/>
    <n v="73.22"/>
    <n v="0"/>
    <n v="16.28"/>
    <n v="2.62"/>
    <x v="0"/>
    <x v="0"/>
    <n v="23871.68"/>
    <m/>
    <n v="0.93205747690908103"/>
  </r>
  <r>
    <x v="0"/>
    <x v="0"/>
    <x v="2"/>
    <n v="26.4"/>
    <n v="67.099999999999994"/>
    <n v="34180"/>
    <x v="2"/>
    <x v="2"/>
    <n v="134.91"/>
    <n v="6235"/>
    <n v="268.63"/>
    <n v="11.12"/>
    <n v="9.27"/>
    <n v="0.5"/>
    <n v="23158.16"/>
    <n v="40.68"/>
    <n v="0"/>
    <n v="37.89"/>
    <n v="6.1"/>
    <x v="0"/>
    <x v="0"/>
    <n v="24926.05"/>
    <m/>
    <n v="2.121878824528558"/>
  </r>
  <r>
    <x v="0"/>
    <x v="0"/>
    <x v="3"/>
    <n v="26.3"/>
    <n v="55.1"/>
    <n v="21210"/>
    <x v="3"/>
    <x v="3"/>
    <n v="228.2"/>
    <n v="3610"/>
    <n v="135.38"/>
    <n v="1.64"/>
    <n v="7.89"/>
    <n v="0.5"/>
    <n v="17591.27"/>
    <n v="36.61"/>
    <n v="0"/>
    <n v="3.81"/>
    <n v="1"/>
    <x v="0"/>
    <x v="0"/>
    <n v="16266.83"/>
    <m/>
    <n v="-2.339915670346091"/>
  </r>
  <r>
    <x v="0"/>
    <x v="1"/>
    <x v="4"/>
    <n v="26"/>
    <n v="75.3"/>
    <n v="37220"/>
    <x v="4"/>
    <x v="4"/>
    <n v="216.78"/>
    <n v="5775"/>
    <n v="357.25"/>
    <n v="1.1000000000000001"/>
    <n v="12.31"/>
    <n v="0.5"/>
    <n v="25586.43"/>
    <n v="73.22"/>
    <n v="0"/>
    <n v="4.3099999999999996"/>
    <n v="1"/>
    <x v="0"/>
    <x v="0"/>
    <n v="22674.46"/>
    <m/>
    <n v="-3.812910915197826"/>
  </r>
  <r>
    <x v="0"/>
    <x v="1"/>
    <x v="5"/>
    <n v="25.8"/>
    <n v="67.5"/>
    <n v="38480"/>
    <x v="5"/>
    <x v="5"/>
    <n v="283.95"/>
    <n v="3927.5"/>
    <n v="338.63"/>
    <n v="2.17"/>
    <n v="3.35"/>
    <n v="0.5"/>
    <n v="21809.82"/>
    <n v="109.83"/>
    <n v="0"/>
    <n v="19.89"/>
    <n v="3.2"/>
    <x v="0"/>
    <x v="0"/>
    <n v="19543.73"/>
    <m/>
    <n v="-3.6400299233727709"/>
  </r>
  <r>
    <x v="0"/>
    <x v="1"/>
    <x v="5"/>
    <n v="25.8"/>
    <n v="78.2"/>
    <n v="31640"/>
    <x v="6"/>
    <x v="6"/>
    <n v="332.95"/>
    <n v="3172.5"/>
    <n v="431"/>
    <n v="0.98"/>
    <n v="0.71"/>
    <n v="0.5"/>
    <n v="26631.02"/>
    <n v="113.9"/>
    <n v="0"/>
    <n v="81.11"/>
    <n v="13.06"/>
    <x v="0"/>
    <x v="0"/>
    <n v="25039.45"/>
    <m/>
    <n v="-2.8526098931879731"/>
  </r>
  <r>
    <x v="0"/>
    <x v="1"/>
    <x v="6"/>
    <n v="25.9"/>
    <n v="67.5"/>
    <n v="34250"/>
    <x v="7"/>
    <x v="7"/>
    <n v="282.2"/>
    <n v="2930"/>
    <n v="317.13"/>
    <n v="1.51"/>
    <n v="2.74"/>
    <n v="0.5"/>
    <n v="22010.71"/>
    <n v="101.69"/>
    <n v="0"/>
    <n v="13.44"/>
    <n v="2.16"/>
    <x v="0"/>
    <x v="0"/>
    <n v="17411.78"/>
    <m/>
    <n v="-7.9067235196343306"/>
  </r>
  <r>
    <x v="0"/>
    <x v="2"/>
    <x v="7"/>
    <n v="25.8"/>
    <n v="9.01"/>
    <n v="4640"/>
    <x v="8"/>
    <x v="8"/>
    <n v="41.18"/>
    <n v="107.4"/>
    <n v="5.01"/>
    <n v="0.48"/>
    <n v="0.2"/>
    <n v="0.5"/>
    <n v="3931.21"/>
    <n v="448.67"/>
    <n v="45.3"/>
    <n v="20.23"/>
    <n v="3.26"/>
    <x v="0"/>
    <x v="0"/>
    <n v="3840.02"/>
    <m/>
    <n v="1.310644616439814"/>
  </r>
  <r>
    <x v="0"/>
    <x v="3"/>
    <x v="8"/>
    <n v="26"/>
    <n v="34.5"/>
    <n v="9495"/>
    <x v="9"/>
    <x v="9"/>
    <n v="122.73"/>
    <n v="81.75"/>
    <n v="20.78"/>
    <n v="0.26"/>
    <n v="0.2"/>
    <n v="0.5"/>
    <n v="12992"/>
    <n v="430.68"/>
    <n v="49.59"/>
    <n v="43.24"/>
    <n v="6.96"/>
    <x v="0"/>
    <x v="0"/>
    <n v="10998.28"/>
    <m/>
    <n v="-5.7796246067000183"/>
  </r>
  <r>
    <x v="0"/>
    <x v="4"/>
    <x v="9"/>
    <n v="26.1"/>
    <n v="75"/>
    <n v="20740"/>
    <x v="10"/>
    <x v="10"/>
    <n v="154.49"/>
    <n v="5800"/>
    <n v="356.63"/>
    <n v="1.56"/>
    <n v="15.31"/>
    <n v="0.5"/>
    <n v="24823.07"/>
    <n v="77.290000000000006"/>
    <n v="0"/>
    <n v="4.49"/>
    <n v="1"/>
    <x v="0"/>
    <x v="0"/>
    <n v="26800.46"/>
    <m/>
    <n v="2.0046867277171581"/>
  </r>
  <r>
    <x v="0"/>
    <x v="4"/>
    <x v="10"/>
    <n v="25.7"/>
    <n v="78.400000000000006"/>
    <n v="37370"/>
    <x v="11"/>
    <x v="11"/>
    <n v="151.05000000000001"/>
    <n v="4422.5"/>
    <n v="272.88"/>
    <n v="4.45"/>
    <n v="11.61"/>
    <n v="0.5"/>
    <n v="27233.67"/>
    <n v="44.75"/>
    <n v="0"/>
    <n v="11.91"/>
    <n v="1.92"/>
    <x v="0"/>
    <x v="0"/>
    <n v="25455.84"/>
    <m/>
    <n v="-2.7500793331198201"/>
  </r>
  <r>
    <x v="1"/>
    <x v="5"/>
    <x v="11"/>
    <m/>
    <m/>
    <m/>
    <x v="12"/>
    <x v="12"/>
    <n v="1340"/>
    <n v="14425"/>
    <m/>
    <n v="2"/>
    <m/>
    <m/>
    <n v="57092"/>
    <n v="2745"/>
    <n v="0"/>
    <n v="325"/>
    <m/>
    <x v="0"/>
    <x v="0"/>
    <m/>
    <n v="98"/>
    <n v="2.4371495861422279"/>
  </r>
  <r>
    <x v="1"/>
    <x v="5"/>
    <x v="12"/>
    <m/>
    <m/>
    <m/>
    <x v="13"/>
    <x v="13"/>
    <n v="1267"/>
    <n v="14300"/>
    <m/>
    <n v="44"/>
    <m/>
    <m/>
    <n v="56153"/>
    <n v="335"/>
    <n v="0"/>
    <n v="185"/>
    <m/>
    <x v="0"/>
    <x v="0"/>
    <m/>
    <n v="88.7"/>
    <n v="2.7035050735602808"/>
  </r>
  <r>
    <x v="1"/>
    <x v="5"/>
    <x v="13"/>
    <m/>
    <m/>
    <m/>
    <x v="14"/>
    <x v="14"/>
    <n v="1257"/>
    <n v="12790"/>
    <m/>
    <n v="60"/>
    <m/>
    <m/>
    <n v="56230"/>
    <n v="488"/>
    <n v="0"/>
    <n v="190"/>
    <m/>
    <x v="0"/>
    <x v="0"/>
    <m/>
    <n v="38.200000000000003"/>
    <n v="1.3971289129968001"/>
  </r>
  <r>
    <x v="1"/>
    <x v="5"/>
    <x v="14"/>
    <m/>
    <m/>
    <m/>
    <x v="15"/>
    <x v="15"/>
    <n v="873"/>
    <n v="7815"/>
    <m/>
    <n v="2"/>
    <m/>
    <m/>
    <n v="54515"/>
    <n v="122"/>
    <n v="0"/>
    <n v="302"/>
    <m/>
    <x v="0"/>
    <x v="0"/>
    <m/>
    <n v="99"/>
    <n v="2.927524454375892"/>
  </r>
  <r>
    <x v="1"/>
    <x v="5"/>
    <x v="3"/>
    <m/>
    <m/>
    <m/>
    <x v="16"/>
    <x v="16"/>
    <n v="847"/>
    <n v="7324"/>
    <m/>
    <n v="85"/>
    <m/>
    <m/>
    <n v="56745"/>
    <n v="275"/>
    <n v="0"/>
    <n v="205"/>
    <m/>
    <x v="0"/>
    <x v="0"/>
    <m/>
    <n v="20.2"/>
    <n v="0.54124845738429228"/>
  </r>
  <r>
    <x v="1"/>
    <x v="5"/>
    <x v="15"/>
    <m/>
    <m/>
    <m/>
    <x v="17"/>
    <x v="17"/>
    <n v="956"/>
    <n v="7457"/>
    <m/>
    <n v="100"/>
    <m/>
    <m/>
    <n v="56854"/>
    <n v="518"/>
    <n v="0"/>
    <n v="196"/>
    <m/>
    <x v="0"/>
    <x v="0"/>
    <m/>
    <n v="61.8"/>
    <n v="2.2924363412419448"/>
  </r>
  <r>
    <x v="0"/>
    <x v="5"/>
    <x v="16"/>
    <m/>
    <m/>
    <n v="51.887"/>
    <x v="18"/>
    <x v="18"/>
    <n v="340.2"/>
    <n v="5.2"/>
    <m/>
    <n v="7.5"/>
    <m/>
    <m/>
    <n v="43"/>
    <n v="41.5"/>
    <n v="0"/>
    <n v="8.1"/>
    <m/>
    <x v="0"/>
    <x v="0"/>
    <m/>
    <m/>
    <n v="99.567953433955083"/>
  </r>
  <r>
    <x v="2"/>
    <x v="5"/>
    <x v="17"/>
    <m/>
    <m/>
    <m/>
    <x v="19"/>
    <x v="18"/>
    <n v="140"/>
    <n v="666"/>
    <m/>
    <m/>
    <m/>
    <m/>
    <n v="10320"/>
    <n v="212"/>
    <m/>
    <n v="1066"/>
    <m/>
    <x v="0"/>
    <x v="0"/>
    <m/>
    <m/>
    <n v="-1.799591301360793E-2"/>
  </r>
  <r>
    <x v="0"/>
    <x v="5"/>
    <x v="18"/>
    <m/>
    <m/>
    <m/>
    <x v="20"/>
    <x v="18"/>
    <n v="218"/>
    <n v="3698"/>
    <m/>
    <m/>
    <m/>
    <m/>
    <n v="30000"/>
    <n v="42"/>
    <n v="0"/>
    <n v="6"/>
    <m/>
    <x v="0"/>
    <x v="0"/>
    <m/>
    <m/>
    <n v="-2.0156499856428239E-2"/>
  </r>
  <r>
    <x v="3"/>
    <x v="5"/>
    <x v="19"/>
    <m/>
    <n v="91.3"/>
    <n v="69024"/>
    <x v="21"/>
    <x v="19"/>
    <n v="59"/>
    <n v="85"/>
    <m/>
    <n v="5.3"/>
    <m/>
    <m/>
    <n v="38320"/>
    <n v="3220"/>
    <n v="0"/>
    <n v="150"/>
    <n v="0"/>
    <x v="0"/>
    <x v="0"/>
    <m/>
    <m/>
    <n v="0.46920122449712159"/>
  </r>
  <r>
    <x v="3"/>
    <x v="5"/>
    <x v="20"/>
    <m/>
    <n v="90.6"/>
    <n v="68265"/>
    <x v="22"/>
    <x v="20"/>
    <n v="65"/>
    <n v="125"/>
    <m/>
    <n v="0.3"/>
    <m/>
    <m/>
    <n v="38700"/>
    <n v="3350"/>
    <n v="145"/>
    <n v="220"/>
    <n v="0"/>
    <x v="0"/>
    <x v="0"/>
    <m/>
    <m/>
    <n v="-3.8602886766682158"/>
  </r>
  <r>
    <x v="4"/>
    <x v="5"/>
    <x v="21"/>
    <m/>
    <n v="50.9"/>
    <n v="32100"/>
    <x v="23"/>
    <x v="21"/>
    <n v="418"/>
    <n v="2130"/>
    <m/>
    <n v="5.8"/>
    <n v="1.0900000000000001"/>
    <m/>
    <n v="35700"/>
    <n v="505.08"/>
    <n v="1.5"/>
    <n v="2060"/>
    <n v="6.7"/>
    <x v="0"/>
    <x v="0"/>
    <m/>
    <n v="9.41"/>
    <n v="-29.575508987384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44"/>
    <n v="0"/>
    <m/>
    <n v="10"/>
    <n v="0"/>
    <n v="3"/>
    <n v="33"/>
    <m/>
    <m/>
    <m/>
    <m/>
    <m/>
    <m/>
    <m/>
  </r>
  <r>
    <x v="0"/>
    <n v="35"/>
    <n v="0"/>
    <m/>
    <n v="19"/>
    <n v="0"/>
    <n v="1"/>
    <n v="36"/>
    <m/>
    <m/>
    <m/>
    <m/>
    <m/>
    <m/>
    <m/>
  </r>
  <r>
    <x v="0"/>
    <n v="38"/>
    <n v="0"/>
    <m/>
    <n v="17"/>
    <n v="0"/>
    <n v="2"/>
    <n v="29"/>
    <m/>
    <m/>
    <m/>
    <m/>
    <m/>
    <m/>
    <m/>
  </r>
  <r>
    <x v="0"/>
    <n v="31"/>
    <n v="0"/>
    <m/>
    <n v="33"/>
    <n v="0"/>
    <n v="2"/>
    <n v="23"/>
    <m/>
    <m/>
    <m/>
    <m/>
    <m/>
    <m/>
    <m/>
  </r>
  <r>
    <x v="0"/>
    <n v="37"/>
    <n v="0"/>
    <m/>
    <n v="28"/>
    <n v="0"/>
    <n v="2"/>
    <n v="25"/>
    <m/>
    <m/>
    <m/>
    <m/>
    <m/>
    <m/>
    <m/>
  </r>
  <r>
    <x v="0"/>
    <n v="27"/>
    <n v="0"/>
    <m/>
    <n v="50"/>
    <n v="0"/>
    <n v="2"/>
    <n v="14"/>
    <m/>
    <m/>
    <m/>
    <m/>
    <m/>
    <m/>
    <m/>
  </r>
  <r>
    <x v="1"/>
    <n v="89.4"/>
    <n v="0.6"/>
    <n v="0.6"/>
    <n v="0.2"/>
    <n v="0"/>
    <n v="0"/>
    <n v="8.8000000000000007"/>
    <n v="2.4"/>
    <m/>
    <n v="1.1000000000000001"/>
    <n v="5.3"/>
    <m/>
    <m/>
    <m/>
  </r>
  <r>
    <x v="1"/>
    <n v="89.9"/>
    <n v="0.6"/>
    <n v="1.1000000000000001"/>
    <n v="0"/>
    <n v="0"/>
    <n v="0"/>
    <n v="6.9"/>
    <n v="2"/>
    <m/>
    <n v="1.4"/>
    <n v="3.5"/>
    <m/>
    <m/>
    <m/>
  </r>
  <r>
    <x v="1"/>
    <n v="83.5"/>
    <n v="0.8"/>
    <n v="1.7"/>
    <n v="0"/>
    <n v="0"/>
    <n v="0"/>
    <n v="8.5"/>
    <n v="1.5"/>
    <m/>
    <n v="2.7"/>
    <n v="4.3"/>
    <m/>
    <m/>
    <m/>
  </r>
  <r>
    <x v="1"/>
    <n v="84.5"/>
    <n v="0.6"/>
    <n v="0.7"/>
    <n v="0.5"/>
    <n v="0"/>
    <n v="0"/>
    <n v="3.7"/>
    <n v="1.1000000000000001"/>
    <m/>
    <n v="0.4"/>
    <n v="2.2000000000000002"/>
    <m/>
    <m/>
    <m/>
  </r>
  <r>
    <x v="2"/>
    <m/>
    <m/>
    <m/>
    <n v="15"/>
    <n v="0"/>
    <m/>
    <n v="4"/>
    <m/>
    <m/>
    <n v="0"/>
    <n v="0"/>
    <m/>
    <n v="4"/>
    <n v="77"/>
  </r>
  <r>
    <x v="2"/>
    <m/>
    <m/>
    <m/>
    <n v="22"/>
    <n v="0"/>
    <m/>
    <n v="7"/>
    <m/>
    <m/>
    <n v="0"/>
    <n v="5"/>
    <m/>
    <n v="7"/>
    <n v="64"/>
  </r>
  <r>
    <x v="2"/>
    <m/>
    <m/>
    <m/>
    <n v="21"/>
    <n v="0"/>
    <m/>
    <n v="10"/>
    <m/>
    <m/>
    <n v="0"/>
    <n v="10"/>
    <m/>
    <n v="8"/>
    <n v="61"/>
  </r>
  <r>
    <x v="2"/>
    <m/>
    <m/>
    <m/>
    <n v="24"/>
    <n v="3"/>
    <m/>
    <n v="7"/>
    <m/>
    <m/>
    <n v="0"/>
    <n v="7"/>
    <m/>
    <n v="6"/>
    <n v="60"/>
  </r>
  <r>
    <x v="2"/>
    <m/>
    <m/>
    <m/>
    <n v="36"/>
    <n v="6"/>
    <m/>
    <n v="6"/>
    <m/>
    <m/>
    <n v="0"/>
    <n v="6"/>
    <m/>
    <n v="4"/>
    <n v="48"/>
  </r>
  <r>
    <x v="3"/>
    <n v="43"/>
    <n v="12.3"/>
    <m/>
    <m/>
    <m/>
    <m/>
    <m/>
    <m/>
    <m/>
    <m/>
    <m/>
    <m/>
    <m/>
    <m/>
  </r>
  <r>
    <x v="3"/>
    <n v="44.5"/>
    <n v="9.1"/>
    <m/>
    <n v="22.6"/>
    <m/>
    <m/>
    <n v="8.8000000000000007"/>
    <m/>
    <m/>
    <m/>
    <m/>
    <m/>
    <m/>
    <m/>
  </r>
  <r>
    <x v="4"/>
    <n v="32"/>
    <n v="13"/>
    <m/>
    <n v="20"/>
    <m/>
    <m/>
    <m/>
    <n v="2"/>
    <n v="1"/>
    <m/>
    <n v="24"/>
    <n v="4"/>
    <m/>
    <n v="5"/>
  </r>
  <r>
    <x v="5"/>
    <n v="68"/>
    <n v="10"/>
    <m/>
    <m/>
    <m/>
    <m/>
    <n v="17"/>
    <m/>
    <m/>
    <m/>
    <m/>
    <m/>
    <m/>
    <m/>
  </r>
  <r>
    <x v="5"/>
    <n v="40"/>
    <n v="10"/>
    <m/>
    <m/>
    <m/>
    <m/>
    <n v="45"/>
    <m/>
    <m/>
    <m/>
    <m/>
    <m/>
    <m/>
    <m/>
  </r>
  <r>
    <x v="5"/>
    <n v="53"/>
    <n v="10"/>
    <m/>
    <m/>
    <m/>
    <m/>
    <n v="32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9">
  <r>
    <s v="ACORDIONERO-1"/>
    <x v="0"/>
    <n v="2437627.574"/>
    <s v="Valle Medio del Magdalena"/>
    <x v="0"/>
    <n v="2301.2399999999998"/>
    <n v="26.06"/>
  </r>
  <r>
    <s v="ACORDIONERO-1"/>
    <x v="0"/>
    <n v="2437627.574"/>
    <s v="Valle Medio del Magdalena"/>
    <x v="0"/>
    <n v="2337.8200000000002"/>
    <n v="25.2"/>
  </r>
  <r>
    <s v="ACORDIONERO-1"/>
    <x v="0"/>
    <n v="2437627.574"/>
    <s v="Valle Medio del Magdalena"/>
    <x v="0"/>
    <n v="2373.7800000000002"/>
    <n v="23.3"/>
  </r>
  <r>
    <s v="ACORDIONERO-1"/>
    <x v="0"/>
    <n v="2437627.574"/>
    <s v="Valle Medio del Magdalena"/>
    <x v="0"/>
    <n v="2409.75"/>
    <n v="20.079999999999998"/>
  </r>
  <r>
    <s v="ACORDIONERO-1"/>
    <x v="0"/>
    <n v="2437627.574"/>
    <s v="Valle Medio del Magdalena"/>
    <x v="0"/>
    <n v="2427.88"/>
    <n v="27.1"/>
  </r>
  <r>
    <s v="ACORDIONERO-1"/>
    <x v="0"/>
    <n v="2437627.574"/>
    <s v="Valle Medio del Magdalena"/>
    <x v="0"/>
    <n v="2464.92"/>
    <n v="18"/>
  </r>
  <r>
    <s v="ACORDIONERO-1"/>
    <x v="0"/>
    <n v="2437627.574"/>
    <s v="Valle Medio del Magdalena"/>
    <x v="0"/>
    <n v="2498.4499999999998"/>
    <n v="24.01"/>
  </r>
  <r>
    <s v="ACORDIONERO-1"/>
    <x v="0"/>
    <n v="2437627.574"/>
    <s v="Valle Medio del Magdalena"/>
    <x v="0"/>
    <n v="2508.1999999999998"/>
    <n v="26.2"/>
  </r>
  <r>
    <s v="ACORDIONERO-1"/>
    <x v="0"/>
    <n v="2437627.574"/>
    <s v="Valle Medio del Magdalena"/>
    <x v="0"/>
    <n v="2540.5100000000002"/>
    <n v="24.8"/>
  </r>
  <r>
    <s v="ACORDIONERO-3"/>
    <x v="1"/>
    <n v="2437620.67"/>
    <s v="Valle Medio del Magdalena"/>
    <x v="1"/>
    <n v="2855.3663999999999"/>
    <n v="17.75"/>
  </r>
  <r>
    <s v="BUTURAMA-4"/>
    <x v="2"/>
    <n v="2472052.9559999998"/>
    <s v="Valle Medio del Magdalena"/>
    <x v="2"/>
    <n v="1170.432"/>
    <n v="7.5"/>
  </r>
  <r>
    <s v="BUTURAMA-4"/>
    <x v="2"/>
    <n v="2472052.9559999998"/>
    <s v="Valle Medio del Magdalena"/>
    <x v="2"/>
    <n v="1231.3920000000001"/>
    <n v="8.25"/>
  </r>
  <r>
    <s v="BUTURAMA-5"/>
    <x v="3"/>
    <n v="2471696.4019999998"/>
    <s v="Valle Medio del Magdalena"/>
    <x v="3"/>
    <n v="2225.04"/>
    <n v="5"/>
  </r>
  <r>
    <s v="BUTURAMA-5"/>
    <x v="3"/>
    <n v="2471696.4019999998"/>
    <s v="Valle Medio del Magdalena"/>
    <x v="3"/>
    <n v="2243.328"/>
    <n v="3"/>
  </r>
  <r>
    <s v="BUTURAMA-5"/>
    <x v="3"/>
    <n v="2471696.4019999998"/>
    <s v="Valle Medio del Magdalena"/>
    <x v="3"/>
    <n v="2257.0439999999999"/>
    <n v="5"/>
  </r>
  <r>
    <s v="BUTURAMA-5"/>
    <x v="3"/>
    <n v="2471696.4019999998"/>
    <s v="Valle Medio del Magdalena"/>
    <x v="3"/>
    <n v="2273.808"/>
    <n v="6.5"/>
  </r>
  <r>
    <s v="BUTURAMA-5"/>
    <x v="3"/>
    <n v="2471696.4019999998"/>
    <s v="Valle Medio del Magdalena"/>
    <x v="3"/>
    <n v="2298.192"/>
    <n v="4.5"/>
  </r>
  <r>
    <s v="BUTURAMA-5"/>
    <x v="3"/>
    <n v="2471696.4019999998"/>
    <s v="Valle Medio del Magdalena"/>
    <x v="3"/>
    <n v="2310.384"/>
    <n v="4"/>
  </r>
  <r>
    <s v="BUTURAMA-5"/>
    <x v="3"/>
    <n v="2471696.4019999998"/>
    <s v="Valle Medio del Magdalena"/>
    <x v="3"/>
    <n v="2340.864"/>
    <n v="5"/>
  </r>
  <r>
    <s v="BUTURAMA-5"/>
    <x v="3"/>
    <n v="2471696.4019999998"/>
    <s v="Valle Medio del Magdalena"/>
    <x v="4"/>
    <n v="2377.44"/>
    <n v="7"/>
  </r>
  <r>
    <s v="CAGUI-1"/>
    <x v="4"/>
    <n v="2406782.04"/>
    <s v="Valle Medio del Magdalena"/>
    <x v="5"/>
    <n v="3749.7258000000002"/>
    <n v="3.65"/>
  </r>
  <r>
    <s v="CAIMAN-1"/>
    <x v="5"/>
    <n v="2443978.534"/>
    <s v="Valle Medio del Magdalena"/>
    <x v="6"/>
    <n v="2250.0336000000002"/>
    <n v="16.2"/>
  </r>
  <r>
    <s v="CAIMAN-1"/>
    <x v="5"/>
    <n v="2443978.534"/>
    <s v="Valle Medio del Magdalena"/>
    <x v="6"/>
    <n v="2250.3384000000001"/>
    <n v="26.3"/>
  </r>
  <r>
    <s v="CAIMAN-1"/>
    <x v="5"/>
    <n v="2443978.534"/>
    <s v="Valle Medio del Magdalena"/>
    <x v="6"/>
    <n v="2250.6432"/>
    <n v="25.9"/>
  </r>
  <r>
    <s v="CAIMAN-1"/>
    <x v="5"/>
    <n v="2443978.534"/>
    <s v="Valle Medio del Magdalena"/>
    <x v="6"/>
    <n v="2250.9479999999999"/>
    <n v="26.3"/>
  </r>
  <r>
    <s v="CANTAGALLO-20"/>
    <x v="6"/>
    <n v="2379680.4240000001"/>
    <s v="Valle Medio del Magdalena"/>
    <x v="7"/>
    <n v="662.94"/>
    <n v="17.3"/>
  </r>
  <r>
    <s v="CANTAGALLO-20"/>
    <x v="6"/>
    <n v="2379680.4240000001"/>
    <s v="Valle Medio del Magdalena"/>
    <x v="8"/>
    <n v="716.28"/>
    <n v="17.3"/>
  </r>
  <r>
    <s v="COCUYO-1"/>
    <x v="7"/>
    <n v="2375599.8119999999"/>
    <s v="Valle Medio del Magdalena"/>
    <x v="2"/>
    <n v="3278.7640799999999"/>
    <n v="24.4"/>
  </r>
  <r>
    <s v="COCUYO-1"/>
    <x v="7"/>
    <n v="2375599.8119999999"/>
    <s v="Valle Medio del Magdalena"/>
    <x v="2"/>
    <n v="3279.3431999999998"/>
    <n v="23.8"/>
  </r>
  <r>
    <s v="COCUYO-1"/>
    <x v="7"/>
    <n v="2375599.8119999999"/>
    <s v="Valle Medio del Magdalena"/>
    <x v="2"/>
    <n v="3280.1966400000001"/>
    <n v="21.4"/>
  </r>
  <r>
    <s v="COCUYO-1"/>
    <x v="7"/>
    <n v="2375599.8119999999"/>
    <s v="Valle Medio del Magdalena"/>
    <x v="2"/>
    <n v="3455.4566399999999"/>
    <n v="20"/>
  </r>
  <r>
    <s v="COCUYO-1"/>
    <x v="7"/>
    <n v="2375599.8119999999"/>
    <s v="Valle Medio del Magdalena"/>
    <x v="2"/>
    <n v="3457.6511999999998"/>
    <n v="20.7"/>
  </r>
  <r>
    <s v="COCUYO-1"/>
    <x v="7"/>
    <n v="2375599.8119999999"/>
    <s v="Valle Medio del Magdalena"/>
    <x v="2"/>
    <n v="3460.1810399999999"/>
    <n v="21.1"/>
  </r>
  <r>
    <s v="COCUYO-1"/>
    <x v="7"/>
    <n v="2375599.8119999999"/>
    <s v="Valle Medio del Magdalena"/>
    <x v="2"/>
    <n v="3461.79648"/>
    <n v="20.7"/>
  </r>
  <r>
    <s v="COCUYO-1"/>
    <x v="7"/>
    <n v="2375599.8119999999"/>
    <s v="Valle Medio del Magdalena"/>
    <x v="2"/>
    <n v="3463.7167199999999"/>
    <n v="19.600000000000001"/>
  </r>
  <r>
    <s v="COCUYO-1"/>
    <x v="7"/>
    <n v="2375599.8119999999"/>
    <s v="Valle Medio del Magdalena"/>
    <x v="2"/>
    <n v="3538.48416"/>
    <n v="23.1"/>
  </r>
  <r>
    <s v="COCUYO-1"/>
    <x v="7"/>
    <n v="2375599.8119999999"/>
    <s v="Valle Medio del Magdalena"/>
    <x v="2"/>
    <n v="3777.4473600000001"/>
    <n v="21.3"/>
  </r>
  <r>
    <s v="COCUYO-1"/>
    <x v="7"/>
    <n v="2375599.8119999999"/>
    <s v="Valle Medio del Magdalena"/>
    <x v="2"/>
    <n v="3779.4285599999998"/>
    <n v="22.8"/>
  </r>
  <r>
    <s v="COLON-1"/>
    <x v="8"/>
    <n v="2409008.8339999998"/>
    <s v="Valle Medio del Magdalena"/>
    <x v="9"/>
    <n v="2325.9288000000001"/>
    <n v="23.2"/>
  </r>
  <r>
    <s v="COLON-1"/>
    <x v="8"/>
    <n v="2409008.8339999998"/>
    <s v="Valle Medio del Magdalena"/>
    <x v="10"/>
    <n v="2538.6792"/>
    <n v="19.100000000000001"/>
  </r>
  <r>
    <s v="COLON-1"/>
    <x v="8"/>
    <n v="2409008.8339999998"/>
    <s v="Valle Medio del Magdalena"/>
    <x v="10"/>
    <n v="2593.848"/>
    <n v="25.3"/>
  </r>
  <r>
    <s v="COLON-1"/>
    <x v="8"/>
    <n v="2409008.8339999998"/>
    <s v="Valle Medio del Magdalena"/>
    <x v="10"/>
    <n v="2605.4304000000002"/>
    <n v="16.7"/>
  </r>
  <r>
    <s v="COLON-1"/>
    <x v="8"/>
    <n v="2409008.8339999998"/>
    <s v="Valle Medio del Magdalena"/>
    <x v="10"/>
    <n v="2678.5823999999998"/>
    <n v="19.2"/>
  </r>
  <r>
    <s v="COLON6- ST"/>
    <x v="9"/>
    <n v="2409442.6690000002"/>
    <s v="Valle Medio del Magdalena"/>
    <x v="1"/>
    <n v="2709.0619999999999"/>
    <n v="16"/>
  </r>
  <r>
    <s v="COLON6- ST"/>
    <x v="9"/>
    <n v="2409442.6690000002"/>
    <s v="Valle Medio del Magdalena"/>
    <x v="1"/>
    <n v="2738.933"/>
    <n v="12"/>
  </r>
  <r>
    <s v="COLON6- ST"/>
    <x v="9"/>
    <n v="2409442.6690000002"/>
    <s v="Valle Medio del Magdalena"/>
    <x v="1"/>
    <n v="2782.2139999999999"/>
    <n v="8"/>
  </r>
  <r>
    <s v="COLON6- ST"/>
    <x v="9"/>
    <n v="2409442.6690000002"/>
    <s v="Valle Medio del Magdalena"/>
    <x v="1"/>
    <n v="2820.6190000000001"/>
    <n v="6"/>
  </r>
  <r>
    <s v="COLON6- ST"/>
    <x v="9"/>
    <n v="2409442.6690000002"/>
    <s v="Valle Medio del Magdalena"/>
    <x v="11"/>
    <n v="2843.4789999999998"/>
    <n v="13"/>
  </r>
  <r>
    <s v="COLON6- ST"/>
    <x v="9"/>
    <n v="2409442.6690000002"/>
    <s v="Valle Medio del Magdalena"/>
    <x v="1"/>
    <n v="9034"/>
    <n v="11"/>
  </r>
  <r>
    <s v="CRISOL-1"/>
    <x v="10"/>
    <n v="2479071.7009999999"/>
    <s v="Valle Medio del Magdalena"/>
    <x v="12"/>
    <n v="1218.29"/>
    <n v="0.06"/>
  </r>
  <r>
    <s v="CRISOL-1"/>
    <x v="10"/>
    <n v="2479071.7009999999"/>
    <s v="Valle Medio del Magdalena"/>
    <x v="12"/>
    <n v="1218.9000000000001"/>
    <n v="7.0000000000000007E-2"/>
  </r>
  <r>
    <s v="CRISOL-1"/>
    <x v="10"/>
    <n v="2479071.7009999999"/>
    <s v="Valle Medio del Magdalena"/>
    <x v="12"/>
    <n v="1227.1199999999999"/>
    <n v="0.04"/>
  </r>
  <r>
    <s v="CRISOL-1"/>
    <x v="10"/>
    <n v="2479071.7009999999"/>
    <s v="Valle Medio del Magdalena"/>
    <x v="1"/>
    <n v="1234.44"/>
    <n v="0.02"/>
  </r>
  <r>
    <s v="CRISOL-1"/>
    <x v="10"/>
    <n v="2479071.7009999999"/>
    <s v="Valle Medio del Magdalena"/>
    <x v="1"/>
    <n v="1237.49"/>
    <n v="3.04"/>
  </r>
  <r>
    <s v="CRISOL-1"/>
    <x v="10"/>
    <n v="2479071.7009999999"/>
    <s v="Valle Medio del Magdalena"/>
    <x v="1"/>
    <n v="1238.0999999999999"/>
    <n v="3.21"/>
  </r>
  <r>
    <s v="CRISOL-1"/>
    <x v="10"/>
    <n v="2479071.7009999999"/>
    <s v="Valle Medio del Magdalena"/>
    <x v="1"/>
    <n v="1246.02"/>
    <n v="0.38"/>
  </r>
  <r>
    <s v="CRISOL-1"/>
    <x v="10"/>
    <n v="2479071.7009999999"/>
    <s v="Valle Medio del Magdalena"/>
    <x v="1"/>
    <n v="1246.94"/>
    <n v="0.03"/>
  </r>
  <r>
    <s v="CRISOL-1"/>
    <x v="10"/>
    <n v="2479071.7009999999"/>
    <s v="Valle Medio del Magdalena"/>
    <x v="1"/>
    <n v="1252.42"/>
    <n v="0.4"/>
  </r>
  <r>
    <s v="CRISOL-1"/>
    <x v="10"/>
    <n v="2479071.7009999999"/>
    <s v="Valle Medio del Magdalena"/>
    <x v="1"/>
    <n v="1256.3900000000001"/>
    <n v="5.98"/>
  </r>
  <r>
    <s v="CRISOL-1"/>
    <x v="10"/>
    <n v="2479071.7009999999"/>
    <s v="Valle Medio del Magdalena"/>
    <x v="1"/>
    <n v="1257.3"/>
    <n v="1.62"/>
  </r>
  <r>
    <s v="CRISOL-1"/>
    <x v="10"/>
    <n v="2479071.7009999999"/>
    <s v="Valle Medio del Magdalena"/>
    <x v="1"/>
    <n v="1259.74"/>
    <n v="6.73"/>
  </r>
  <r>
    <s v="CRISOL-1"/>
    <x v="10"/>
    <n v="2479071.7009999999"/>
    <s v="Valle Medio del Magdalena"/>
    <x v="1"/>
    <n v="1261.8699999999999"/>
    <n v="0.1"/>
  </r>
  <r>
    <s v="CRISOL-1"/>
    <x v="10"/>
    <n v="2479071.7009999999"/>
    <s v="Valle Medio del Magdalena"/>
    <x v="1"/>
    <n v="1262.48"/>
    <n v="0.06"/>
  </r>
  <r>
    <s v="CRISOL-1"/>
    <x v="10"/>
    <n v="2479071.7009999999"/>
    <s v="Valle Medio del Magdalena"/>
    <x v="1"/>
    <n v="1263.7"/>
    <n v="0.06"/>
  </r>
  <r>
    <s v="CRISOL-1"/>
    <x v="10"/>
    <n v="2479071.7009999999"/>
    <s v="Valle Medio del Magdalena"/>
    <x v="1"/>
    <n v="1265.83"/>
    <n v="0.02"/>
  </r>
  <r>
    <s v="CRISOL-1"/>
    <x v="10"/>
    <n v="2479071.7009999999"/>
    <s v="Valle Medio del Magdalena"/>
    <x v="1"/>
    <n v="1267.05"/>
    <n v="0.04"/>
  </r>
  <r>
    <s v="CRISOL-1"/>
    <x v="10"/>
    <n v="2479071.7009999999"/>
    <s v="Valle Medio del Magdalena"/>
    <x v="1"/>
    <n v="1294.49"/>
    <n v="0.01"/>
  </r>
  <r>
    <s v="CRISOL-1"/>
    <x v="10"/>
    <n v="2479071.7009999999"/>
    <s v="Valle Medio del Magdalena"/>
    <x v="1"/>
    <n v="1297.53"/>
    <n v="0.11"/>
  </r>
  <r>
    <s v="CRISOL-1"/>
    <x v="10"/>
    <n v="2479071.7009999999"/>
    <s v="Valle Medio del Magdalena"/>
    <x v="1"/>
    <n v="1297.8399999999999"/>
    <n v="0.08"/>
  </r>
  <r>
    <s v="CRISOL-1"/>
    <x v="10"/>
    <n v="2479071.7009999999"/>
    <s v="Valle Medio del Magdalena"/>
    <x v="1"/>
    <n v="1315.21"/>
    <n v="0.14000000000000001"/>
  </r>
  <r>
    <s v="CRISOL-1"/>
    <x v="10"/>
    <n v="2479071.7009999999"/>
    <s v="Valle Medio del Magdalena"/>
    <x v="1"/>
    <n v="1319.17"/>
    <n v="0.01"/>
  </r>
  <r>
    <s v="CRISOL-1"/>
    <x v="10"/>
    <n v="2479071.7009999999"/>
    <s v="Valle Medio del Magdalena"/>
    <x v="1"/>
    <n v="1329.23"/>
    <n v="0.03"/>
  </r>
  <r>
    <s v="CRISOL-1"/>
    <x v="10"/>
    <n v="2479071.7009999999"/>
    <s v="Valle Medio del Magdalena"/>
    <x v="1"/>
    <n v="1340.21"/>
    <n v="0.13"/>
  </r>
  <r>
    <s v="CRISOL-1"/>
    <x v="10"/>
    <n v="2479071.7009999999"/>
    <s v="Valle Medio del Magdalena"/>
    <x v="1"/>
    <n v="1349.35"/>
    <n v="0.04"/>
  </r>
  <r>
    <s v="CRISOL-1"/>
    <x v="10"/>
    <n v="2479071.7009999999"/>
    <s v="Valle Medio del Magdalena"/>
    <x v="1"/>
    <n v="1358.19"/>
    <n v="0.01"/>
  </r>
  <r>
    <s v="CRISOL-1"/>
    <x v="10"/>
    <n v="2479071.7009999999"/>
    <s v="Valle Medio del Magdalena"/>
    <x v="1"/>
    <n v="1363.37"/>
    <n v="0.02"/>
  </r>
  <r>
    <s v="CRISTALINA-1"/>
    <x v="11"/>
    <n v="2392894.7220000001"/>
    <s v="Valle Medio del Magdalena"/>
    <x v="13"/>
    <n v="2609.6799999999998"/>
    <n v="19.399999999999999"/>
  </r>
  <r>
    <s v="CRISTALINA-1"/>
    <x v="11"/>
    <n v="2392894.7220000001"/>
    <s v="Valle Medio del Magdalena"/>
    <x v="13"/>
    <n v="2610.59"/>
    <n v="16.8"/>
  </r>
  <r>
    <s v="DONA MARIA-2"/>
    <x v="12"/>
    <n v="2451413.1880000001"/>
    <n v="0"/>
    <x v="14"/>
    <n v="1796.8"/>
    <n v="24.4"/>
  </r>
  <r>
    <s v="DONA MARIA-2"/>
    <x v="12"/>
    <n v="2451413.1880000001"/>
    <n v="0"/>
    <x v="14"/>
    <n v="1797.41"/>
    <n v="26.1"/>
  </r>
  <r>
    <s v="DONA MARIA-2"/>
    <x v="12"/>
    <n v="2451413.1880000001"/>
    <n v="0"/>
    <x v="14"/>
    <n v="1800.15"/>
    <n v="28.1"/>
  </r>
  <r>
    <s v="DONA MARIA-2"/>
    <x v="12"/>
    <n v="2451413.1880000001"/>
    <n v="0"/>
    <x v="14"/>
    <n v="1800.76"/>
    <n v="23.8"/>
  </r>
  <r>
    <s v="DONA MARIA-2"/>
    <x v="12"/>
    <n v="2451413.1880000001"/>
    <n v="0"/>
    <x v="14"/>
    <n v="1874.82"/>
    <n v="26.4"/>
  </r>
  <r>
    <s v="DONA MARIA-2"/>
    <x v="12"/>
    <n v="2451413.1880000001"/>
    <n v="0"/>
    <x v="14"/>
    <n v="1879.4"/>
    <n v="25.7"/>
  </r>
  <r>
    <s v="DONA MARIA-2"/>
    <x v="12"/>
    <n v="2451413.1880000001"/>
    <n v="0"/>
    <x v="14"/>
    <n v="1890.37"/>
    <n v="23.1"/>
  </r>
  <r>
    <s v="DONA MARIA-2"/>
    <x v="12"/>
    <n v="2451413.1880000001"/>
    <n v="0"/>
    <x v="14"/>
    <n v="1891.89"/>
    <n v="24.2"/>
  </r>
  <r>
    <s v="DONA MARIA-2"/>
    <x v="12"/>
    <n v="2451413.1880000001"/>
    <n v="0"/>
    <x v="14"/>
    <n v="1894.03"/>
    <n v="22.3"/>
  </r>
  <r>
    <s v="DONA MARIA-2"/>
    <x v="12"/>
    <n v="2451413.1880000001"/>
    <n v="0"/>
    <x v="10"/>
    <n v="1895.86"/>
    <n v="23"/>
  </r>
  <r>
    <s v="DONA MARIA-2"/>
    <x v="12"/>
    <n v="2451413.1880000001"/>
    <n v="0"/>
    <x v="10"/>
    <n v="1897.68"/>
    <n v="17.600000000000001"/>
  </r>
  <r>
    <s v="DONA MARIA-2"/>
    <x v="12"/>
    <n v="2451413.1880000001"/>
    <n v="0"/>
    <x v="10"/>
    <n v="1898.6"/>
    <n v="22.6"/>
  </r>
  <r>
    <s v="DONA MARIA-2"/>
    <x v="12"/>
    <n v="2451413.1880000001"/>
    <n v="0"/>
    <x v="10"/>
    <n v="1900.73"/>
    <n v="25"/>
  </r>
  <r>
    <s v="DONA MARIA-2"/>
    <x v="12"/>
    <n v="2451413.1880000001"/>
    <n v="0"/>
    <x v="10"/>
    <n v="1902.87"/>
    <n v="25.1"/>
  </r>
  <r>
    <s v="DONA MARIA-2"/>
    <x v="12"/>
    <n v="2451413.1880000001"/>
    <n v="0"/>
    <x v="10"/>
    <n v="1905.91"/>
    <n v="21.3"/>
  </r>
  <r>
    <s v="DONA MARIA-2"/>
    <x v="12"/>
    <n v="2451413.1880000001"/>
    <n v="0"/>
    <x v="10"/>
    <n v="1908.96"/>
    <n v="24.5"/>
  </r>
  <r>
    <s v="GARZAS-2"/>
    <x v="13"/>
    <n v="2383214.9920000001"/>
    <s v="Valle Medio del Magdalena"/>
    <x v="13"/>
    <n v="2622.85"/>
    <n v="12"/>
  </r>
  <r>
    <s v="GARZAS-2"/>
    <x v="13"/>
    <n v="2383214.9920000001"/>
    <s v="Valle Medio del Magdalena"/>
    <x v="13"/>
    <n v="2623.62"/>
    <n v="9.3000000000000007"/>
  </r>
  <r>
    <s v="GUANE-1"/>
    <x v="14"/>
    <n v="2357621.1579999998"/>
    <s v="Valle Medio del Magdalena"/>
    <x v="5"/>
    <n v="3458.3"/>
    <n v="1.7"/>
  </r>
  <r>
    <s v="GUANE-1"/>
    <x v="14"/>
    <n v="2357621.1579999998"/>
    <s v="Valle Medio del Magdalena"/>
    <x v="5"/>
    <n v="3461.4"/>
    <n v="1.9"/>
  </r>
  <r>
    <s v="GUANE-1"/>
    <x v="14"/>
    <n v="2357621.1579999998"/>
    <s v="Valle Medio del Magdalena"/>
    <x v="5"/>
    <n v="3464.1"/>
    <n v="2.2000000000000002"/>
  </r>
  <r>
    <s v="GUANE-1"/>
    <x v="14"/>
    <n v="2357621.1579999998"/>
    <s v="Valle Medio del Magdalena"/>
    <x v="5"/>
    <n v="3466.8"/>
    <n v="1.75"/>
  </r>
  <r>
    <s v="GUANE-1"/>
    <x v="14"/>
    <n v="2357621.1579999998"/>
    <s v="Valle Medio del Magdalena"/>
    <x v="5"/>
    <n v="3468"/>
    <n v="1.4"/>
  </r>
  <r>
    <s v="GUANE-1"/>
    <x v="14"/>
    <n v="2357621.1579999998"/>
    <s v="Valle Medio del Magdalena"/>
    <x v="5"/>
    <n v="3474.3"/>
    <n v="1.75"/>
  </r>
  <r>
    <s v="GUANE-1"/>
    <x v="14"/>
    <n v="2357621.1579999998"/>
    <s v="Valle Medio del Magdalena"/>
    <x v="5"/>
    <n v="3475.9"/>
    <n v="1.65"/>
  </r>
  <r>
    <s v="GUANE-1"/>
    <x v="14"/>
    <n v="2357621.1579999998"/>
    <s v="Valle Medio del Magdalena"/>
    <x v="5"/>
    <n v="3477.9"/>
    <n v="2.2000000000000002"/>
  </r>
  <r>
    <s v="GUANE-1"/>
    <x v="14"/>
    <n v="2357621.1579999998"/>
    <s v="Valle Medio del Magdalena"/>
    <x v="5"/>
    <n v="3484"/>
    <n v="1.8"/>
  </r>
  <r>
    <s v="GUANE-1"/>
    <x v="14"/>
    <n v="2357621.1579999998"/>
    <s v="Valle Medio del Magdalena"/>
    <x v="5"/>
    <n v="3490.1"/>
    <n v="4.45"/>
  </r>
  <r>
    <s v="GUANE-1"/>
    <x v="14"/>
    <n v="2357621.1579999998"/>
    <s v="Valle Medio del Magdalena"/>
    <x v="5"/>
    <n v="3491.2"/>
    <n v="1.45"/>
  </r>
  <r>
    <s v="GUANE-1"/>
    <x v="14"/>
    <n v="2357621.1579999998"/>
    <s v="Valle Medio del Magdalena"/>
    <x v="5"/>
    <n v="3493.2"/>
    <n v="18"/>
  </r>
  <r>
    <s v="GUANE-1"/>
    <x v="14"/>
    <n v="2357621.1579999998"/>
    <s v="Valle Medio del Magdalena"/>
    <x v="5"/>
    <n v="3495.6"/>
    <n v="3.72"/>
  </r>
  <r>
    <s v="GUANE-1"/>
    <x v="14"/>
    <n v="2357621.1579999998"/>
    <s v="Valle Medio del Magdalena"/>
    <x v="5"/>
    <n v="3498.3"/>
    <n v="11.3"/>
  </r>
  <r>
    <s v="GUANE-1"/>
    <x v="14"/>
    <n v="2357621.1579999998"/>
    <s v="Valle Medio del Magdalena"/>
    <x v="5"/>
    <n v="3500.1"/>
    <n v="0.4"/>
  </r>
  <r>
    <s v="GUANE-1"/>
    <x v="14"/>
    <n v="2357621.1579999998"/>
    <s v="Valle Medio del Magdalena"/>
    <x v="5"/>
    <n v="3502.6"/>
    <n v="0.4"/>
  </r>
  <r>
    <s v="GUANE-1"/>
    <x v="14"/>
    <n v="2357621.1579999998"/>
    <s v="Valle Medio del Magdalena"/>
    <x v="5"/>
    <n v="3508.1"/>
    <n v="1.2"/>
  </r>
  <r>
    <s v="GUANE-1"/>
    <x v="14"/>
    <n v="2357621.1579999998"/>
    <s v="Valle Medio del Magdalena"/>
    <x v="5"/>
    <n v="3522.6"/>
    <n v="0"/>
  </r>
  <r>
    <s v="GUANE-1"/>
    <x v="14"/>
    <n v="2357621.1579999998"/>
    <s v="Valle Medio del Magdalena"/>
    <x v="5"/>
    <n v="3523.6"/>
    <n v="0"/>
  </r>
  <r>
    <s v="GUANE-1"/>
    <x v="14"/>
    <n v="2357621.1579999998"/>
    <s v="Valle Medio del Magdalena"/>
    <x v="5"/>
    <n v="3524.6"/>
    <n v="0"/>
  </r>
  <r>
    <s v="GUANE-1"/>
    <x v="14"/>
    <n v="2357621.1579999998"/>
    <s v="Valle Medio del Magdalena"/>
    <x v="5"/>
    <n v="3526.3"/>
    <n v="0.4"/>
  </r>
  <r>
    <s v="LA ESTANCIA-1"/>
    <x v="15"/>
    <n v="2480230.7540000002"/>
    <s v="Valle Medio del Magdalena"/>
    <x v="15"/>
    <n v="1338.07"/>
    <n v="8"/>
  </r>
  <r>
    <s v="LA ESTANCIA-1"/>
    <x v="15"/>
    <n v="2480230.7540000002"/>
    <s v="Valle Medio del Magdalena"/>
    <x v="15"/>
    <n v="1353.31"/>
    <n v="7"/>
  </r>
  <r>
    <s v="LA RADA-1"/>
    <x v="16"/>
    <n v="2587083.7379999999"/>
    <s v="Sinú-San Jacinto"/>
    <x v="16"/>
    <n v="2557.2719999999999"/>
    <n v="9.4499999999999993"/>
  </r>
  <r>
    <s v="LA ROMPIDA-3"/>
    <x v="17"/>
    <n v="2349658.0219999999"/>
    <s v="Valle Superior del Magdalena"/>
    <x v="17"/>
    <n v="666.29"/>
    <n v="12.5"/>
  </r>
  <r>
    <s v="LA ROMPIDA-3"/>
    <x v="17"/>
    <n v="2349658.0219999999"/>
    <s v="Valle Superior del Magdalena"/>
    <x v="17"/>
    <n v="668.73"/>
    <n v="21.3"/>
  </r>
  <r>
    <s v="LA ROMPIDA-3"/>
    <x v="17"/>
    <n v="2349658.0219999999"/>
    <s v="Valle Superior del Magdalena"/>
    <x v="17"/>
    <n v="669.95"/>
    <n v="24.4"/>
  </r>
  <r>
    <s v="LA ROMPIDA-3"/>
    <x v="17"/>
    <n v="2349658.0219999999"/>
    <s v="Valle Superior del Magdalena"/>
    <x v="17"/>
    <n v="671.17"/>
    <n v="24"/>
  </r>
  <r>
    <s v="LA ROMPIDA-3"/>
    <x v="17"/>
    <n v="2349658.0219999999"/>
    <s v="Valle Superior del Magdalena"/>
    <x v="17"/>
    <n v="672.08"/>
    <n v="26.8"/>
  </r>
  <r>
    <s v="LA ROMPIDA-3"/>
    <x v="17"/>
    <n v="2349658.0219999999"/>
    <s v="Valle Superior del Magdalena"/>
    <x v="17"/>
    <n v="673.3"/>
    <n v="19.2"/>
  </r>
  <r>
    <s v="LA ROMPIDA-3"/>
    <x v="17"/>
    <n v="2349658.0219999999"/>
    <s v="Valle Superior del Magdalena"/>
    <x v="17"/>
    <n v="673.91"/>
    <n v="29.2"/>
  </r>
  <r>
    <s v="LA ROMPIDA-3"/>
    <x v="17"/>
    <n v="2349658.0219999999"/>
    <s v="Valle Superior del Magdalena"/>
    <x v="17"/>
    <n v="679.7"/>
    <n v="31.2"/>
  </r>
  <r>
    <s v="LA ROMPIDA-3"/>
    <x v="17"/>
    <n v="2349658.0219999999"/>
    <s v="Valle Superior del Magdalena"/>
    <x v="17"/>
    <n v="686.71"/>
    <n v="27"/>
  </r>
  <r>
    <s v="LUNA-1"/>
    <x v="18"/>
    <n v="2403970.4169999999"/>
    <s v="Valle Medio del Magdalena"/>
    <x v="2"/>
    <n v="2858.7496799999999"/>
    <n v="10.9"/>
  </r>
  <r>
    <s v="LUNA-1"/>
    <x v="18"/>
    <n v="2403970.4169999999"/>
    <s v="Valle Medio del Magdalena"/>
    <x v="2"/>
    <n v="2860.6394399999999"/>
    <n v="12.9"/>
  </r>
  <r>
    <s v="LUNA-1"/>
    <x v="18"/>
    <n v="2403970.4169999999"/>
    <s v="Valle Medio del Magdalena"/>
    <x v="2"/>
    <n v="2870.8197599999999"/>
    <n v="13.6"/>
  </r>
  <r>
    <s v="LUNA-1"/>
    <x v="18"/>
    <n v="2403970.4169999999"/>
    <s v="Valle Medio del Magdalena"/>
    <x v="2"/>
    <n v="2873.22768"/>
    <n v="12"/>
  </r>
  <r>
    <s v="LUNA-1"/>
    <x v="18"/>
    <n v="2403970.4169999999"/>
    <s v="Valle Medio del Magdalena"/>
    <x v="2"/>
    <n v="2876.06232"/>
    <n v="13.2"/>
  </r>
  <r>
    <s v="LUNA-1"/>
    <x v="18"/>
    <n v="2403970.4169999999"/>
    <s v="Valle Medio del Magdalena"/>
    <x v="2"/>
    <n v="2878.89696"/>
    <n v="10.9"/>
  </r>
  <r>
    <s v="LUNA-1"/>
    <x v="18"/>
    <n v="2403970.4169999999"/>
    <s v="Valle Medio del Magdalena"/>
    <x v="2"/>
    <n v="2888.8944000000001"/>
    <n v="4"/>
  </r>
  <r>
    <s v="LUNA-1"/>
    <x v="18"/>
    <n v="2403970.4169999999"/>
    <s v="Valle Medio del Magdalena"/>
    <x v="2"/>
    <n v="2889.0468000000001"/>
    <n v="10"/>
  </r>
  <r>
    <s v="LUNA-1"/>
    <x v="18"/>
    <n v="2403970.4169999999"/>
    <s v="Valle Medio del Magdalena"/>
    <x v="2"/>
    <n v="2894.6551199999999"/>
    <n v="6.3"/>
  </r>
  <r>
    <s v="LUNA-1"/>
    <x v="18"/>
    <n v="2403970.4169999999"/>
    <s v="Valle Medio del Magdalena"/>
    <x v="2"/>
    <n v="2898.2517600000001"/>
    <n v="6.5"/>
  </r>
  <r>
    <s v="LUNA-1"/>
    <x v="18"/>
    <n v="2403970.4169999999"/>
    <s v="Valle Medio del Magdalena"/>
    <x v="2"/>
    <n v="2898.3127199999999"/>
    <n v="10"/>
  </r>
  <r>
    <s v="LUNA-1"/>
    <x v="18"/>
    <n v="2403970.4169999999"/>
    <s v="Valle Medio del Magdalena"/>
    <x v="2"/>
    <n v="2903.8296"/>
    <n v="12.4"/>
  </r>
  <r>
    <s v="LUNA-1"/>
    <x v="18"/>
    <n v="2403970.4169999999"/>
    <s v="Valle Medio del Magdalena"/>
    <x v="2"/>
    <n v="2908.5235200000002"/>
    <n v="15.1"/>
  </r>
  <r>
    <s v="LUNA-1"/>
    <x v="18"/>
    <n v="2403970.4169999999"/>
    <s v="Valle Medio del Magdalena"/>
    <x v="2"/>
    <n v="2912.5773600000002"/>
    <n v="4.5999999999999996"/>
  </r>
  <r>
    <s v="LUNA-1"/>
    <x v="18"/>
    <n v="2403970.4169999999"/>
    <s v="Valle Medio del Magdalena"/>
    <x v="2"/>
    <n v="2914.65"/>
    <n v="6.2"/>
  </r>
  <r>
    <s v="LUNA-1"/>
    <x v="18"/>
    <n v="2403970.4169999999"/>
    <s v="Valle Medio del Magdalena"/>
    <x v="2"/>
    <n v="2918.0028000000002"/>
    <n v="6.9"/>
  </r>
  <r>
    <s v="LUNA-1"/>
    <x v="18"/>
    <n v="2403970.4169999999"/>
    <s v="Valle Medio del Magdalena"/>
    <x v="2"/>
    <n v="2922.3004799999999"/>
    <n v="7.3"/>
  </r>
  <r>
    <s v="LUNA-1"/>
    <x v="18"/>
    <n v="2403970.4169999999"/>
    <s v="Valle Medio del Magdalena"/>
    <x v="2"/>
    <n v="2931.1701600000001"/>
    <n v="5.9"/>
  </r>
  <r>
    <s v="LUNA-1"/>
    <x v="18"/>
    <n v="2403970.4169999999"/>
    <s v="Valle Medio del Magdalena"/>
    <x v="2"/>
    <n v="2939.6435999999999"/>
    <n v="6.9"/>
  </r>
  <r>
    <s v="LUNA-1"/>
    <x v="18"/>
    <n v="2403970.4169999999"/>
    <s v="Valle Medio del Magdalena"/>
    <x v="2"/>
    <n v="2943.9108000000001"/>
    <n v="9.8000000000000007"/>
  </r>
  <r>
    <s v="LUNA-1"/>
    <x v="18"/>
    <n v="2403970.4169999999"/>
    <s v="Valle Medio del Magdalena"/>
    <x v="2"/>
    <n v="2947.8122400000002"/>
    <n v="6.9"/>
  </r>
  <r>
    <s v="LUNA-1"/>
    <x v="18"/>
    <n v="2403970.4169999999"/>
    <s v="Valle Medio del Magdalena"/>
    <x v="2"/>
    <n v="2953.0547999999999"/>
    <n v="7.7"/>
  </r>
  <r>
    <s v="LUNA-1"/>
    <x v="18"/>
    <n v="2403970.4169999999"/>
    <s v="Valle Medio del Magdalena"/>
    <x v="2"/>
    <n v="2978.9627999999998"/>
    <n v="4.3"/>
  </r>
  <r>
    <s v="LUNA-1"/>
    <x v="18"/>
    <n v="2403970.4169999999"/>
    <s v="Valle Medio del Magdalena"/>
    <x v="2"/>
    <n v="2984.6016"/>
    <n v="4.5"/>
  </r>
  <r>
    <s v="LUNA-1"/>
    <x v="18"/>
    <n v="2403970.4169999999"/>
    <s v="Valle Medio del Magdalena"/>
    <x v="2"/>
    <n v="2987.3447999999999"/>
    <n v="3.4"/>
  </r>
  <r>
    <s v="LUNA-1"/>
    <x v="18"/>
    <n v="2403970.4169999999"/>
    <s v="Valle Medio del Magdalena"/>
    <x v="2"/>
    <n v="2987.4057600000001"/>
    <n v="4.5999999999999996"/>
  </r>
  <r>
    <s v="LUNA-1"/>
    <x v="18"/>
    <n v="2403970.4169999999"/>
    <s v="Valle Medio del Magdalena"/>
    <x v="2"/>
    <n v="3001.39608"/>
    <n v="10.5"/>
  </r>
  <r>
    <s v="LUNA-1"/>
    <x v="18"/>
    <n v="2403970.4169999999"/>
    <s v="Valle Medio del Magdalena"/>
    <x v="2"/>
    <n v="3001.518"/>
    <n v="11.7"/>
  </r>
  <r>
    <s v="LUNA-1"/>
    <x v="18"/>
    <n v="2403970.4169999999"/>
    <s v="Valle Medio del Magdalena"/>
    <x v="2"/>
    <n v="3013.43568"/>
    <n v="12.2"/>
  </r>
  <r>
    <s v="LUNA-1"/>
    <x v="18"/>
    <n v="2403970.4169999999"/>
    <s v="Valle Medio del Magdalena"/>
    <x v="2"/>
    <n v="3025.0180799999998"/>
    <n v="9.8000000000000007"/>
  </r>
  <r>
    <s v="LUNA-1"/>
    <x v="18"/>
    <n v="2403970.4169999999"/>
    <s v="Valle Medio del Magdalena"/>
    <x v="2"/>
    <n v="3042.9403200000002"/>
    <n v="7.7"/>
  </r>
  <r>
    <s v="LUNA-1"/>
    <x v="18"/>
    <n v="2403970.4169999999"/>
    <s v="Valle Medio del Magdalena"/>
    <x v="2"/>
    <n v="3048.3047999999999"/>
    <n v="7.9"/>
  </r>
  <r>
    <s v="LUNA-1"/>
    <x v="18"/>
    <n v="2403970.4169999999"/>
    <s v="Valle Medio del Magdalena"/>
    <x v="2"/>
    <n v="3059.43"/>
    <n v="8.4"/>
  </r>
  <r>
    <s v="LUNA-1"/>
    <x v="18"/>
    <n v="2403970.4169999999"/>
    <s v="Valle Medio del Magdalena"/>
    <x v="2"/>
    <n v="3067.5986400000002"/>
    <n v="8.1"/>
  </r>
  <r>
    <s v="LUNA-1"/>
    <x v="18"/>
    <n v="2403970.4169999999"/>
    <s v="Valle Medio del Magdalena"/>
    <x v="2"/>
    <n v="3075.7977599999999"/>
    <n v="8.3000000000000007"/>
  </r>
  <r>
    <s v="LUNA-1"/>
    <x v="18"/>
    <n v="2403970.4169999999"/>
    <s v="Valle Medio del Magdalena"/>
    <x v="2"/>
    <n v="3092.98848"/>
    <n v="6.9"/>
  </r>
  <r>
    <s v="LUNA-1"/>
    <x v="18"/>
    <n v="2403970.4169999999"/>
    <s v="Valle Medio del Magdalena"/>
    <x v="2"/>
    <n v="3104.6013600000001"/>
    <n v="6.5"/>
  </r>
  <r>
    <s v="LUNA-1"/>
    <x v="18"/>
    <n v="2403970.4169999999"/>
    <s v="Valle Medio del Magdalena"/>
    <x v="2"/>
    <n v="3134.9594400000001"/>
    <n v="5"/>
  </r>
  <r>
    <s v="LUNA-1"/>
    <x v="18"/>
    <n v="2403970.4169999999"/>
    <s v="Valle Medio del Magdalena"/>
    <x v="2"/>
    <n v="3145.56648"/>
    <n v="7.5"/>
  </r>
  <r>
    <s v="LUNA-1"/>
    <x v="18"/>
    <n v="2403970.4169999999"/>
    <s v="Valle Medio del Magdalena"/>
    <x v="2"/>
    <n v="3165.6832800000002"/>
    <n v="8.3000000000000007"/>
  </r>
  <r>
    <s v="LUNA-1"/>
    <x v="18"/>
    <n v="2403970.4169999999"/>
    <s v="Valle Medio del Magdalena"/>
    <x v="2"/>
    <n v="3165.8295800000001"/>
    <n v="6.9"/>
  </r>
  <r>
    <s v="LUNA-1"/>
    <x v="18"/>
    <n v="2403970.4169999999"/>
    <s v="Valle Medio del Magdalena"/>
    <x v="2"/>
    <n v="3166.7500799999998"/>
    <n v="11.8"/>
  </r>
  <r>
    <s v="LUNA-1"/>
    <x v="18"/>
    <n v="2403970.4169999999"/>
    <s v="Valle Medio del Magdalena"/>
    <x v="2"/>
    <n v="3178.8506400000001"/>
    <n v="14"/>
  </r>
  <r>
    <s v="LUNA-1"/>
    <x v="18"/>
    <n v="2403970.4169999999"/>
    <s v="Valle Medio del Magdalena"/>
    <x v="2"/>
    <n v="3178.89941"/>
    <n v="6.3"/>
  </r>
  <r>
    <s v="LUNA-1"/>
    <x v="18"/>
    <n v="2403970.4169999999"/>
    <s v="Valle Medio del Magdalena"/>
    <x v="2"/>
    <n v="3180.3715900000002"/>
    <n v="9.5"/>
  </r>
  <r>
    <s v="LUNA-1"/>
    <x v="18"/>
    <n v="2403970.4169999999"/>
    <s v="Valle Medio del Magdalena"/>
    <x v="2"/>
    <n v="3180.4355999999998"/>
    <n v="7.5"/>
  </r>
  <r>
    <s v="LUNA-1"/>
    <x v="18"/>
    <n v="2403970.4169999999"/>
    <s v="Valle Medio del Magdalena"/>
    <x v="2"/>
    <n v="3189.7624799999999"/>
    <n v="6.8"/>
  </r>
  <r>
    <s v="LUNA-1"/>
    <x v="18"/>
    <n v="2403970.4169999999"/>
    <s v="Valle Medio del Magdalena"/>
    <x v="2"/>
    <n v="3191.34744"/>
    <n v="15.3"/>
  </r>
  <r>
    <s v="LUNA-1"/>
    <x v="18"/>
    <n v="2403970.4169999999"/>
    <s v="Valle Medio del Magdalena"/>
    <x v="2"/>
    <n v="3191.3962099999999"/>
    <n v="14.3"/>
  </r>
  <r>
    <s v="LUNA-1"/>
    <x v="18"/>
    <n v="2403970.4169999999"/>
    <s v="Valle Medio del Magdalena"/>
    <x v="2"/>
    <n v="3202.1007800000002"/>
    <n v="11.5"/>
  </r>
  <r>
    <s v="LUNA-1"/>
    <x v="18"/>
    <n v="2403970.4169999999"/>
    <s v="Valle Medio del Magdalena"/>
    <x v="2"/>
    <n v="3202.1373600000002"/>
    <n v="17"/>
  </r>
  <r>
    <s v="LUNA-1"/>
    <x v="18"/>
    <n v="2403970.4169999999"/>
    <s v="Valle Medio del Magdalena"/>
    <x v="2"/>
    <n v="3213.9331200000001"/>
    <n v="6.5"/>
  </r>
  <r>
    <s v="LUNA-1"/>
    <x v="18"/>
    <n v="2403970.4169999999"/>
    <s v="Valle Medio del Magdalena"/>
    <x v="2"/>
    <n v="3214.0154200000002"/>
    <n v="7.3"/>
  </r>
  <r>
    <s v="LUNA-1"/>
    <x v="18"/>
    <n v="2403970.4169999999"/>
    <s v="Valle Medio del Magdalena"/>
    <x v="2"/>
    <n v="3225.2716799999998"/>
    <n v="14.5"/>
  </r>
  <r>
    <s v="LUNA-1"/>
    <x v="18"/>
    <n v="2403970.4169999999"/>
    <s v="Valle Medio del Magdalena"/>
    <x v="2"/>
    <n v="3236.2444799999998"/>
    <n v="8.4"/>
  </r>
  <r>
    <s v="LUNA-1"/>
    <x v="18"/>
    <n v="2403970.4169999999"/>
    <s v="Valle Medio del Magdalena"/>
    <x v="2"/>
    <n v="3248.1926400000002"/>
    <n v="8.4"/>
  </r>
  <r>
    <s v="LUNA-1"/>
    <x v="18"/>
    <n v="2403970.4169999999"/>
    <s v="Valle Medio del Magdalena"/>
    <x v="2"/>
    <n v="3260.2413799999999"/>
    <n v="8"/>
  </r>
  <r>
    <s v="LUNA-1"/>
    <x v="18"/>
    <n v="2403970.4169999999"/>
    <s v="Valle Medio del Magdalena"/>
    <x v="2"/>
    <n v="3266.26118"/>
    <n v="4.4000000000000004"/>
  </r>
  <r>
    <s v="LUNA-1"/>
    <x v="18"/>
    <n v="2403970.4169999999"/>
    <s v="Valle Medio del Magdalena"/>
    <x v="2"/>
    <n v="3266.3282399999998"/>
    <n v="8.1999999999999993"/>
  </r>
  <r>
    <s v="LUNA-1"/>
    <x v="18"/>
    <n v="2403970.4169999999"/>
    <s v="Valle Medio del Magdalena"/>
    <x v="2"/>
    <n v="3266.73362"/>
    <n v="2.6"/>
  </r>
  <r>
    <s v="LUNA-1"/>
    <x v="18"/>
    <n v="2403970.4169999999"/>
    <s v="Valle Medio del Magdalena"/>
    <x v="2"/>
    <n v="3271.84512"/>
    <n v="4.2"/>
  </r>
  <r>
    <s v="LUNA-1"/>
    <x v="18"/>
    <n v="2403970.4169999999"/>
    <s v="Valle Medio del Magdalena"/>
    <x v="2"/>
    <n v="3271.8877900000002"/>
    <n v="3.4"/>
  </r>
  <r>
    <s v="LUNA-1"/>
    <x v="18"/>
    <n v="2403970.4169999999"/>
    <s v="Valle Medio del Magdalena"/>
    <x v="2"/>
    <n v="3278.3647900000001"/>
    <n v="2.7"/>
  </r>
  <r>
    <s v="LUNA-1"/>
    <x v="18"/>
    <n v="2403970.4169999999"/>
    <s v="Valle Medio del Magdalena"/>
    <x v="2"/>
    <n v="3278.3983199999998"/>
    <n v="4.9000000000000004"/>
  </r>
  <r>
    <s v="LUNA-1"/>
    <x v="18"/>
    <n v="2403970.4169999999"/>
    <s v="Valle Medio del Magdalena"/>
    <x v="2"/>
    <n v="3288.7157999999999"/>
    <n v="5.0999999999999996"/>
  </r>
  <r>
    <s v="LUNA-1"/>
    <x v="18"/>
    <n v="2403970.4169999999"/>
    <s v="Valle Medio del Magdalena"/>
    <x v="2"/>
    <n v="3288.76152"/>
    <n v="9.3000000000000007"/>
  </r>
  <r>
    <s v="LUNA-1"/>
    <x v="18"/>
    <n v="2403970.4169999999"/>
    <s v="Valle Medio del Magdalena"/>
    <x v="2"/>
    <n v="3295.8633599999998"/>
    <n v="3.4"/>
  </r>
  <r>
    <s v="LUNA-1"/>
    <x v="18"/>
    <n v="2403970.4169999999"/>
    <s v="Valle Medio del Magdalena"/>
    <x v="2"/>
    <n v="3301.8374399999998"/>
    <n v="7.7"/>
  </r>
  <r>
    <s v="LUNA-1"/>
    <x v="18"/>
    <n v="2403970.4169999999"/>
    <s v="Valle Medio del Magdalena"/>
    <x v="2"/>
    <n v="3314.8524000000002"/>
    <n v="18.100000000000001"/>
  </r>
  <r>
    <s v="LUNA-1"/>
    <x v="18"/>
    <n v="2403970.4169999999"/>
    <s v="Valle Medio del Magdalena"/>
    <x v="2"/>
    <n v="3320.3692799999999"/>
    <n v="6.5"/>
  </r>
  <r>
    <s v="LUNA-1"/>
    <x v="18"/>
    <n v="2403970.4169999999"/>
    <s v="Valle Medio del Magdalena"/>
    <x v="2"/>
    <n v="3321.28368"/>
    <n v="1.2"/>
  </r>
  <r>
    <s v="LUNA-1"/>
    <x v="18"/>
    <n v="2403970.4169999999"/>
    <s v="Valle Medio del Magdalena"/>
    <x v="2"/>
    <n v="3329.4828000000002"/>
    <n v="5.2"/>
  </r>
  <r>
    <s v="LUNA-1"/>
    <x v="18"/>
    <n v="2403970.4169999999"/>
    <s v="Valle Medio del Magdalena"/>
    <x v="2"/>
    <n v="3336.1884"/>
    <n v="2.4"/>
  </r>
  <r>
    <s v="LUNA-1"/>
    <x v="18"/>
    <n v="2403970.4169999999"/>
    <s v="Valle Medio del Magdalena"/>
    <x v="2"/>
    <n v="3349.7215200000001"/>
    <n v="3"/>
  </r>
  <r>
    <s v="LUNA-1"/>
    <x v="18"/>
    <n v="2403970.4169999999"/>
    <s v="Valle Medio del Magdalena"/>
    <x v="2"/>
    <n v="3379.7748000000001"/>
    <n v="10.7"/>
  </r>
  <r>
    <s v="LUNA-1"/>
    <x v="18"/>
    <n v="2403970.4169999999"/>
    <s v="Valle Medio del Magdalena"/>
    <x v="2"/>
    <n v="3379.8266199999998"/>
    <n v="8"/>
  </r>
  <r>
    <s v="LUNA-1"/>
    <x v="18"/>
    <n v="2403970.4169999999"/>
    <s v="Valle Medio del Magdalena"/>
    <x v="2"/>
    <n v="3423.1173600000002"/>
    <n v="5.0999999999999996"/>
  </r>
  <r>
    <s v="LUNA-1"/>
    <x v="18"/>
    <n v="2403970.4169999999"/>
    <s v="Valle Medio del Magdalena"/>
    <x v="2"/>
    <n v="3458.2089799999999"/>
    <n v="2.6"/>
  </r>
  <r>
    <s v="LUNA-1"/>
    <x v="18"/>
    <n v="2403970.4169999999"/>
    <s v="Valle Medio del Magdalena"/>
    <x v="2"/>
    <n v="3477.9813600000002"/>
    <n v="7.2"/>
  </r>
  <r>
    <s v="LUNA-1"/>
    <x v="18"/>
    <n v="2403970.4169999999"/>
    <s v="Valle Medio del Magdalena"/>
    <x v="2"/>
    <n v="3484.9308000000001"/>
    <n v="7.5"/>
  </r>
  <r>
    <s v="LUNA-1"/>
    <x v="18"/>
    <n v="2403970.4169999999"/>
    <s v="Valle Medio del Magdalena"/>
    <x v="2"/>
    <n v="3485.1837799999998"/>
    <n v="5.5"/>
  </r>
  <r>
    <s v="LUNA-1"/>
    <x v="18"/>
    <n v="2403970.4169999999"/>
    <s v="Valle Medio del Magdalena"/>
    <x v="2"/>
    <n v="3485.2356"/>
    <n v="6"/>
  </r>
  <r>
    <s v="LUNA-1"/>
    <x v="18"/>
    <n v="2403970.4169999999"/>
    <s v="Valle Medio del Magdalena"/>
    <x v="2"/>
    <n v="3531.1080000000002"/>
    <n v="3.1"/>
  </r>
  <r>
    <s v="LUNA-1"/>
    <x v="18"/>
    <n v="2403970.4169999999"/>
    <s v="Valle Medio del Magdalena"/>
    <x v="2"/>
    <n v="3552.1392000000001"/>
    <n v="6.4"/>
  </r>
  <r>
    <s v="LUNA-1"/>
    <x v="18"/>
    <n v="2403970.4169999999"/>
    <s v="Valle Medio del Magdalena"/>
    <x v="2"/>
    <n v="3552.2916"/>
    <n v="6.2"/>
  </r>
  <r>
    <s v="LUNA-1"/>
    <x v="18"/>
    <n v="2403970.4169999999"/>
    <s v="Valle Medio del Magdalena"/>
    <x v="2"/>
    <n v="3564.5445599999998"/>
    <n v="8.1999999999999993"/>
  </r>
  <r>
    <s v="LUNA-1"/>
    <x v="18"/>
    <n v="2403970.4169999999"/>
    <s v="Valle Medio del Magdalena"/>
    <x v="2"/>
    <n v="3564.5841799999998"/>
    <n v="4.5"/>
  </r>
  <r>
    <s v="LUNA-1"/>
    <x v="18"/>
    <n v="2403970.4169999999"/>
    <s v="Valle Medio del Magdalena"/>
    <x v="2"/>
    <n v="3573.7190399999999"/>
    <n v="14.7"/>
  </r>
  <r>
    <s v="LUNA-1"/>
    <x v="18"/>
    <n v="2403970.4169999999"/>
    <s v="Valle Medio del Magdalena"/>
    <x v="2"/>
    <n v="3575.2796199999998"/>
    <n v="9.9"/>
  </r>
  <r>
    <s v="LUNA-1"/>
    <x v="18"/>
    <n v="2403970.4169999999"/>
    <s v="Valle Medio del Magdalena"/>
    <x v="2"/>
    <n v="3584.9052000000001"/>
    <n v="7"/>
  </r>
  <r>
    <s v="LUNA-1"/>
    <x v="18"/>
    <n v="2403970.4169999999"/>
    <s v="Valle Medio del Magdalena"/>
    <x v="2"/>
    <n v="3584.9570199999998"/>
    <n v="6.2"/>
  </r>
  <r>
    <s v="LUNA-1"/>
    <x v="18"/>
    <n v="2403970.4169999999"/>
    <s v="Valle Medio del Magdalena"/>
    <x v="2"/>
    <n v="3585.00578"/>
    <n v="3.3"/>
  </r>
  <r>
    <s v="LUNA-1"/>
    <x v="18"/>
    <n v="2403970.4169999999"/>
    <s v="Valle Medio del Magdalena"/>
    <x v="2"/>
    <n v="3590.7573600000001"/>
    <n v="5.8"/>
  </r>
  <r>
    <s v="LUNA-1"/>
    <x v="18"/>
    <n v="2403970.4169999999"/>
    <s v="Valle Medio del Magdalena"/>
    <x v="2"/>
    <n v="3590.8122199999998"/>
    <n v="10.1"/>
  </r>
  <r>
    <s v="LUNA-1"/>
    <x v="18"/>
    <n v="2403970.4169999999"/>
    <s v="Valle Medio del Magdalena"/>
    <x v="2"/>
    <n v="3602.2483200000001"/>
    <n v="7.8"/>
  </r>
  <r>
    <s v="LUNA-1"/>
    <x v="18"/>
    <n v="2403970.4169999999"/>
    <s v="Valle Medio del Magdalena"/>
    <x v="2"/>
    <n v="3613.8307199999999"/>
    <n v="7.2"/>
  </r>
  <r>
    <s v="LUNA-1"/>
    <x v="18"/>
    <n v="2403970.4169999999"/>
    <s v="Valle Medio del Magdalena"/>
    <x v="2"/>
    <n v="3613.9892199999999"/>
    <n v="8.1999999999999993"/>
  </r>
  <r>
    <s v="LUNA-1"/>
    <x v="18"/>
    <n v="2403970.4169999999"/>
    <s v="Valle Medio del Magdalena"/>
    <x v="2"/>
    <n v="3619.9693900000002"/>
    <n v="6.1"/>
  </r>
  <r>
    <s v="LUNA-1"/>
    <x v="18"/>
    <n v="2403970.4169999999"/>
    <s v="Valle Medio del Magdalena"/>
    <x v="2"/>
    <n v="3629.0707200000002"/>
    <n v="4.7"/>
  </r>
  <r>
    <s v="LUNA-1"/>
    <x v="18"/>
    <n v="2403970.4169999999"/>
    <s v="Valle Medio del Magdalena"/>
    <x v="2"/>
    <n v="3652.1745599999999"/>
    <n v="7.2"/>
  </r>
  <r>
    <s v="LUNA-1"/>
    <x v="18"/>
    <n v="2403970.4169999999"/>
    <s v="Valle Medio del Magdalena"/>
    <x v="2"/>
    <n v="3652.2660000000001"/>
    <n v="3.1"/>
  </r>
  <r>
    <s v="LUNA-1"/>
    <x v="18"/>
    <n v="2403970.4169999999"/>
    <s v="Valle Medio del Magdalena"/>
    <x v="2"/>
    <n v="3659.2764000000002"/>
    <n v="7.6"/>
  </r>
  <r>
    <s v="LUNA-1"/>
    <x v="18"/>
    <n v="2403970.4169999999"/>
    <s v="Valle Medio del Magdalena"/>
    <x v="2"/>
    <n v="3671.6817599999999"/>
    <n v="10"/>
  </r>
  <r>
    <s v="LUNA-1"/>
    <x v="18"/>
    <n v="2403970.4169999999"/>
    <s v="Valle Medio del Magdalena"/>
    <x v="2"/>
    <n v="3673.5257999999999"/>
    <n v="5.0999999999999996"/>
  </r>
  <r>
    <s v="LUNA-1"/>
    <x v="18"/>
    <n v="2403970.4169999999"/>
    <s v="Valle Medio del Magdalena"/>
    <x v="2"/>
    <n v="3673.57152"/>
    <n v="6.8"/>
  </r>
  <r>
    <s v="LUNA-1"/>
    <x v="18"/>
    <n v="2403970.4169999999"/>
    <s v="Valle Medio del Magdalena"/>
    <x v="2"/>
    <n v="3690.366"/>
    <n v="7"/>
  </r>
  <r>
    <s v="LUNA-1"/>
    <x v="18"/>
    <n v="2403970.4169999999"/>
    <s v="Valle Medio del Magdalena"/>
    <x v="2"/>
    <n v="3690.4178200000001"/>
    <n v="11.6"/>
  </r>
  <r>
    <s v="LUNA-1"/>
    <x v="18"/>
    <n v="2403970.4169999999"/>
    <s v="Valle Medio del Magdalena"/>
    <x v="2"/>
    <n v="3699.11681"/>
    <n v="12.1"/>
  </r>
  <r>
    <s v="LUNA-1"/>
    <x v="18"/>
    <n v="2403970.4169999999"/>
    <s v="Valle Medio del Magdalena"/>
    <x v="2"/>
    <n v="3699.3271199999999"/>
    <n v="8"/>
  </r>
  <r>
    <s v="LUNA-1"/>
    <x v="18"/>
    <n v="2403970.4169999999"/>
    <s v="Valle Medio del Magdalena"/>
    <x v="2"/>
    <n v="3714.2623199999998"/>
    <n v="5.7"/>
  </r>
  <r>
    <s v="LUNA-1"/>
    <x v="18"/>
    <n v="2403970.4169999999"/>
    <s v="Valle Medio del Magdalena"/>
    <x v="2"/>
    <n v="3725.60088"/>
    <n v="9.4"/>
  </r>
  <r>
    <s v="LUNA-1"/>
    <x v="18"/>
    <n v="2403970.4169999999"/>
    <s v="Valle Medio del Magdalena"/>
    <x v="2"/>
    <n v="3725.7228"/>
    <n v="4.5999999999999996"/>
  </r>
  <r>
    <s v="LUNA-1"/>
    <x v="18"/>
    <n v="2403970.4169999999"/>
    <s v="Valle Medio del Magdalena"/>
    <x v="2"/>
    <n v="3738.85968"/>
    <n v="8.5"/>
  </r>
  <r>
    <s v="LUNA-1"/>
    <x v="18"/>
    <n v="2403970.4169999999"/>
    <s v="Valle Medio del Magdalena"/>
    <x v="18"/>
    <n v="4411.4222200000004"/>
    <n v="8.3000000000000007"/>
  </r>
  <r>
    <s v="LUNA-1"/>
    <x v="18"/>
    <n v="2403970.4169999999"/>
    <s v="Valle Medio del Magdalena"/>
    <x v="18"/>
    <n v="4463.4973"/>
    <n v="3.3"/>
  </r>
  <r>
    <s v="LUNA-1"/>
    <x v="18"/>
    <n v="2403970.4169999999"/>
    <s v="Valle Medio del Magdalena"/>
    <x v="18"/>
    <n v="4473.4002499999997"/>
    <n v="3.5"/>
  </r>
  <r>
    <s v="LUNA-1"/>
    <x v="18"/>
    <n v="2403970.4169999999"/>
    <s v="Valle Medio del Magdalena"/>
    <x v="18"/>
    <n v="4493.0568000000003"/>
    <n v="4.4000000000000004"/>
  </r>
  <r>
    <s v="LUNA-1"/>
    <x v="18"/>
    <n v="2403970.4169999999"/>
    <s v="Valle Medio del Magdalena"/>
    <x v="18"/>
    <n v="4514.5573899999999"/>
    <n v="6.5"/>
  </r>
  <r>
    <s v="LUNA-1"/>
    <x v="18"/>
    <n v="2403970.4169999999"/>
    <s v="Valle Medio del Magdalena"/>
    <x v="18"/>
    <n v="4520.1321799999996"/>
    <n v="8.8000000000000007"/>
  </r>
  <r>
    <s v="LUNA-1"/>
    <x v="18"/>
    <n v="2403970.4169999999"/>
    <s v="Valle Medio del Magdalena"/>
    <x v="18"/>
    <n v="4530.4953800000003"/>
    <n v="7.8"/>
  </r>
  <r>
    <s v="LUNA-1"/>
    <x v="18"/>
    <n v="2403970.4169999999"/>
    <s v="Valle Medio del Magdalena"/>
    <x v="18"/>
    <n v="4538.6365900000001"/>
    <n v="2.4"/>
  </r>
  <r>
    <s v="LUNA-1"/>
    <x v="18"/>
    <n v="2403970.4169999999"/>
    <s v="Valle Medio del Magdalena"/>
    <x v="18"/>
    <n v="4556.5832200000004"/>
    <n v="4.2"/>
  </r>
  <r>
    <s v="LUNA-1"/>
    <x v="18"/>
    <n v="2403970.4169999999"/>
    <s v="Valle Medio del Magdalena"/>
    <x v="18"/>
    <n v="4599.5600199999999"/>
    <n v="4.2"/>
  </r>
  <r>
    <s v="MOCHUELO-1"/>
    <x v="19"/>
    <n v="2435363.906"/>
    <s v="Valle Medio del Magdalena"/>
    <x v="14"/>
    <n v="2383.5360000000001"/>
    <n v="21"/>
  </r>
  <r>
    <s v="MOCHUELO-1"/>
    <x v="19"/>
    <n v="2435363.906"/>
    <s v="Valle Medio del Magdalena"/>
    <x v="10"/>
    <n v="2553.31"/>
    <n v="20"/>
  </r>
  <r>
    <s v="MOCHUELO-1"/>
    <x v="19"/>
    <n v="2435363.906"/>
    <s v="Valle Medio del Magdalena"/>
    <x v="1"/>
    <n v="2596.5909999999999"/>
    <n v="14"/>
  </r>
  <r>
    <s v="RUMBERO-1"/>
    <x v="20"/>
    <n v="2385058.9160000002"/>
    <s v="Valle Medio del Magdalena"/>
    <x v="19"/>
    <n v="3810"/>
    <n v="20"/>
  </r>
  <r>
    <s v="RUMBERO-1"/>
    <x v="20"/>
    <n v="2385058.9160000002"/>
    <s v="Valle Medio del Magdalena"/>
    <x v="19"/>
    <n v="3962.4"/>
    <n v="12.6"/>
  </r>
  <r>
    <s v="RUMBERO-1 ST"/>
    <x v="20"/>
    <n v="2385058.9160000002"/>
    <s v="Valle Medio del Magdalena"/>
    <x v="20"/>
    <n v="4085.39"/>
    <n v="7.75"/>
  </r>
  <r>
    <s v="RUMBERO-1 ST"/>
    <x v="20"/>
    <n v="2385058.9160000002"/>
    <s v="Valle Medio del Magdalena"/>
    <x v="20"/>
    <n v="4085.4"/>
    <n v="7.75"/>
  </r>
  <r>
    <s v="RUMBERO-1 ST"/>
    <x v="20"/>
    <n v="2385058.9160000002"/>
    <s v="Valle Medio del Magdalena"/>
    <x v="20"/>
    <n v="4085.79"/>
    <n v="11.1"/>
  </r>
  <r>
    <s v="RUMBERO-1 ST"/>
    <x v="20"/>
    <n v="2385058.9160000002"/>
    <s v="Valle Medio del Magdalena"/>
    <x v="20"/>
    <n v="4085.8"/>
    <n v="11.1"/>
  </r>
  <r>
    <s v="RUMBERO-1 ST"/>
    <x v="20"/>
    <n v="2385058.9160000002"/>
    <s v="Valle Medio del Magdalena"/>
    <x v="20"/>
    <n v="4086"/>
    <n v="11"/>
  </r>
  <r>
    <s v="RUMBERO-1 ST"/>
    <x v="20"/>
    <n v="2385058.9160000002"/>
    <s v="Valle Medio del Magdalena"/>
    <x v="20"/>
    <n v="4086.2"/>
    <n v="11.03333333"/>
  </r>
  <r>
    <s v="RUMBERO-1 ST"/>
    <x v="20"/>
    <n v="2385058.9160000002"/>
    <s v="Valle Medio del Magdalena"/>
    <x v="20"/>
    <n v="4086.25"/>
    <n v="12.1"/>
  </r>
  <r>
    <s v="RUMBERO-1 ST"/>
    <x v="20"/>
    <n v="2385058.9160000002"/>
    <s v="Valle Medio del Magdalena"/>
    <x v="20"/>
    <n v="4086.99"/>
    <n v="2.5499999999999998"/>
  </r>
  <r>
    <s v="RUMBERO-1 ST"/>
    <x v="20"/>
    <n v="2385058.9160000002"/>
    <s v="Valle Medio del Magdalena"/>
    <x v="20"/>
    <n v="4087"/>
    <n v="2.5499999999999998"/>
  </r>
  <r>
    <s v="RUMBERO-1 ST"/>
    <x v="20"/>
    <n v="2385058.9160000002"/>
    <s v="Valle Medio del Magdalena"/>
    <x v="20"/>
    <n v="4088"/>
    <n v="3.9"/>
  </r>
  <r>
    <s v="RUMBERO-1 ST"/>
    <x v="20"/>
    <n v="2385058.9160000002"/>
    <s v="Valle Medio del Magdalena"/>
    <x v="20"/>
    <n v="4088.1"/>
    <n v="4.45"/>
  </r>
  <r>
    <s v="RUMBERO-1 ST"/>
    <x v="20"/>
    <n v="2385058.9160000002"/>
    <s v="Valle Medio del Magdalena"/>
    <x v="20"/>
    <n v="4088.11"/>
    <n v="4.45"/>
  </r>
  <r>
    <s v="RUMBERO-1 ST"/>
    <x v="20"/>
    <n v="2385058.9160000002"/>
    <s v="Valle Medio del Magdalena"/>
    <x v="20"/>
    <n v="4088.2"/>
    <n v="5.45"/>
  </r>
  <r>
    <s v="RUMBERO-1 ST"/>
    <x v="20"/>
    <n v="2385058.9160000002"/>
    <s v="Valle Medio del Magdalena"/>
    <x v="20"/>
    <n v="4088.23"/>
    <n v="5.45"/>
  </r>
  <r>
    <s v="RUMBERO-1 ST"/>
    <x v="20"/>
    <n v="2385058.9160000002"/>
    <s v="Valle Medio del Magdalena"/>
    <x v="20"/>
    <n v="4089.6"/>
    <n v="6.9"/>
  </r>
  <r>
    <s v="RUMBERO-1 ST"/>
    <x v="20"/>
    <n v="2385058.9160000002"/>
    <s v="Valle Medio del Magdalena"/>
    <x v="20"/>
    <n v="4089.63"/>
    <n v="6.9"/>
  </r>
  <r>
    <s v="RUMBERO-1 ST"/>
    <x v="20"/>
    <n v="2385058.9160000002"/>
    <s v="Valle Medio del Magdalena"/>
    <x v="20"/>
    <n v="4089.75"/>
    <n v="8.25"/>
  </r>
  <r>
    <s v="RUMBERO-1 ST"/>
    <x v="20"/>
    <n v="2385058.9160000002"/>
    <s v="Valle Medio del Magdalena"/>
    <x v="20"/>
    <n v="4089.8"/>
    <n v="8.25"/>
  </r>
  <r>
    <s v="RUMBERO-1 ST"/>
    <x v="20"/>
    <n v="2385058.9160000002"/>
    <s v="Valle Medio del Magdalena"/>
    <x v="20"/>
    <n v="4090.26"/>
    <n v="9.6999999999999993"/>
  </r>
  <r>
    <s v="RUMBERO-1 ST"/>
    <x v="20"/>
    <n v="2385058.9160000002"/>
    <s v="Valle Medio del Magdalena"/>
    <x v="20"/>
    <n v="4090.3"/>
    <n v="9.6999999999999993"/>
  </r>
  <r>
    <s v="RUMBERO-1 ST"/>
    <x v="20"/>
    <n v="2385058.9160000002"/>
    <s v="Valle Medio del Magdalena"/>
    <x v="20"/>
    <n v="4090.8"/>
    <n v="8.5500000000000007"/>
  </r>
  <r>
    <s v="RUMBERO-1 ST"/>
    <x v="20"/>
    <n v="2385058.9160000002"/>
    <s v="Valle Medio del Magdalena"/>
    <x v="20"/>
    <n v="4090.85"/>
    <n v="8.5500000000000007"/>
  </r>
  <r>
    <s v="RUMBERO-1 ST"/>
    <x v="20"/>
    <n v="2385058.9160000002"/>
    <s v="Valle Medio del Magdalena"/>
    <x v="20"/>
    <n v="4091"/>
    <n v="7.05"/>
  </r>
  <r>
    <s v="RUMBERO-1 ST"/>
    <x v="20"/>
    <n v="2385058.9160000002"/>
    <s v="Valle Medio del Magdalena"/>
    <x v="20"/>
    <n v="4091.7"/>
    <n v="2.8"/>
  </r>
  <r>
    <s v="RUMBERO-1 ST"/>
    <x v="20"/>
    <n v="2385058.9160000002"/>
    <s v="Valle Medio del Magdalena"/>
    <x v="20"/>
    <n v="4091.71"/>
    <n v="2.8"/>
  </r>
  <r>
    <s v="RUMBERO-1 ST"/>
    <x v="20"/>
    <n v="2385058.9160000002"/>
    <s v="Valle Medio del Magdalena"/>
    <x v="20"/>
    <n v="4091.86"/>
    <n v="2.4"/>
  </r>
  <r>
    <s v="RUMBERO-1 ST"/>
    <x v="20"/>
    <n v="2385058.9160000002"/>
    <s v="Valle Medio del Magdalena"/>
    <x v="20"/>
    <n v="4091.9"/>
    <n v="2.4"/>
  </r>
  <r>
    <s v="RUMBERO-1 ST"/>
    <x v="20"/>
    <n v="2385058.9160000002"/>
    <s v="Valle Medio del Magdalena"/>
    <x v="20"/>
    <n v="4092.7"/>
    <n v="3.4"/>
  </r>
  <r>
    <s v="RUMBERO-1 ST"/>
    <x v="20"/>
    <n v="2385058.9160000002"/>
    <s v="Valle Medio del Magdalena"/>
    <x v="20"/>
    <n v="4092.85"/>
    <n v="3.05"/>
  </r>
  <r>
    <s v="RUMBERO-1 ST"/>
    <x v="20"/>
    <n v="2385058.9160000002"/>
    <s v="Valle Medio del Magdalena"/>
    <x v="20"/>
    <n v="4092.9"/>
    <n v="3.05"/>
  </r>
  <r>
    <s v="RUMBERO-1 ST"/>
    <x v="20"/>
    <n v="2385058.9160000002"/>
    <s v="Valle Medio del Magdalena"/>
    <x v="20"/>
    <n v="4093"/>
    <n v="3.25"/>
  </r>
  <r>
    <s v="RUMBERO-1 ST"/>
    <x v="20"/>
    <n v="2385058.9160000002"/>
    <s v="Valle Medio del Magdalena"/>
    <x v="20"/>
    <n v="4093.01"/>
    <n v="3.25"/>
  </r>
  <r>
    <s v="RUMBERO-1 ST"/>
    <x v="20"/>
    <n v="2385058.9160000002"/>
    <s v="Valle Medio del Magdalena"/>
    <x v="20"/>
    <n v="4093.1"/>
    <n v="2.75"/>
  </r>
  <r>
    <s v="RUMBERO-1 ST"/>
    <x v="20"/>
    <n v="2385058.9160000002"/>
    <s v="Valle Medio del Magdalena"/>
    <x v="20"/>
    <n v="4093.15"/>
    <n v="2.75"/>
  </r>
  <r>
    <s v="RUMBERO-1 ST"/>
    <x v="20"/>
    <n v="2385058.9160000002"/>
    <s v="Valle Medio del Magdalena"/>
    <x v="20"/>
    <n v="4093.29"/>
    <n v="8.9"/>
  </r>
  <r>
    <s v="RUMBERO-1 ST"/>
    <x v="20"/>
    <n v="2385058.9160000002"/>
    <s v="Valle Medio del Magdalena"/>
    <x v="20"/>
    <n v="4093.3"/>
    <n v="8.9"/>
  </r>
  <r>
    <s v="RUMBERO-1 ST"/>
    <x v="20"/>
    <n v="2385058.9160000002"/>
    <s v="Valle Medio del Magdalena"/>
    <x v="20"/>
    <n v="4094.6"/>
    <n v="10.25"/>
  </r>
  <r>
    <s v="RUMBERO-1 ST"/>
    <x v="20"/>
    <n v="2385058.9160000002"/>
    <s v="Valle Medio del Magdalena"/>
    <x v="20"/>
    <n v="4094.61"/>
    <n v="10.25"/>
  </r>
  <r>
    <s v="RUMBERO-1 ST"/>
    <x v="20"/>
    <n v="2385058.9160000002"/>
    <s v="Valle Medio del Magdalena"/>
    <x v="20"/>
    <n v="4095.06"/>
    <n v="2.25"/>
  </r>
  <r>
    <s v="RUMBERO-1 ST"/>
    <x v="20"/>
    <n v="2385058.9160000002"/>
    <s v="Valle Medio del Magdalena"/>
    <x v="20"/>
    <n v="4095.1"/>
    <n v="2.25"/>
  </r>
  <r>
    <s v="RUMBERO-1 ST"/>
    <x v="20"/>
    <n v="2385058.9160000002"/>
    <s v="Valle Medio del Magdalena"/>
    <x v="20"/>
    <n v="4095.5"/>
    <n v="2.2999999999999998"/>
  </r>
  <r>
    <s v="RUMBERO-1 ST"/>
    <x v="20"/>
    <n v="2385058.9160000002"/>
    <s v="Valle Medio del Magdalena"/>
    <x v="20"/>
    <n v="4095.55"/>
    <n v="2.2999999999999998"/>
  </r>
  <r>
    <s v="RUMBERO-1 ST"/>
    <x v="20"/>
    <n v="2385058.9160000002"/>
    <s v="Valle Medio del Magdalena"/>
    <x v="20"/>
    <n v="4096.6000000000004"/>
    <n v="3.75"/>
  </r>
  <r>
    <s v="RUMBERO-1 ST"/>
    <x v="20"/>
    <n v="2385058.9160000002"/>
    <s v="Valle Medio del Magdalena"/>
    <x v="20"/>
    <n v="4096.63"/>
    <n v="3.75"/>
  </r>
  <r>
    <s v="SABAL-1"/>
    <x v="21"/>
    <n v="2481396.8790000002"/>
    <s v="Valle Inferior del Magdalena"/>
    <x v="2"/>
    <n v="833.58732090000001"/>
    <n v="8.3000000000000007"/>
  </r>
  <r>
    <s v="SABAL-1"/>
    <x v="21"/>
    <n v="2481396.8790000002"/>
    <s v="Valle Inferior del Magdalena"/>
    <x v="2"/>
    <n v="833.63"/>
    <n v="8.3000000000000007"/>
  </r>
  <r>
    <s v="SABAL-1"/>
    <x v="21"/>
    <n v="2481396.8790000002"/>
    <s v="Valle Inferior del Magdalena"/>
    <x v="2"/>
    <n v="840.5973788"/>
    <n v="6.8"/>
  </r>
  <r>
    <s v="SABAL-1"/>
    <x v="21"/>
    <n v="2481396.8790000002"/>
    <s v="Valle Inferior del Magdalena"/>
    <x v="2"/>
    <n v="840.64"/>
    <n v="6.8"/>
  </r>
  <r>
    <s v="SABAL-1"/>
    <x v="21"/>
    <n v="2481396.8790000002"/>
    <s v="Valle Inferior del Magdalena"/>
    <x v="2"/>
    <n v="847.30265159999999"/>
    <n v="7.4"/>
  </r>
  <r>
    <s v="SABAL-1"/>
    <x v="21"/>
    <n v="2481396.8790000002"/>
    <s v="Valle Inferior del Magdalena"/>
    <x v="2"/>
    <n v="847.34"/>
    <n v="7.4"/>
  </r>
  <r>
    <s v="SABAL-1"/>
    <x v="21"/>
    <n v="2481396.8790000002"/>
    <s v="Valle Inferior del Magdalena"/>
    <x v="2"/>
    <n v="853.39835419999997"/>
    <n v="7.4"/>
  </r>
  <r>
    <s v="SABAL-1"/>
    <x v="21"/>
    <n v="2481396.8790000002"/>
    <s v="Valle Inferior del Magdalena"/>
    <x v="2"/>
    <n v="853.44"/>
    <n v="7.4"/>
  </r>
  <r>
    <s v="SABAL-1"/>
    <x v="21"/>
    <n v="2481396.8790000002"/>
    <s v="Valle Inferior del Magdalena"/>
    <x v="2"/>
    <n v="860.10362689999999"/>
    <n v="7.3"/>
  </r>
  <r>
    <s v="SABAL-1"/>
    <x v="21"/>
    <n v="2481396.8790000002"/>
    <s v="Valle Inferior del Magdalena"/>
    <x v="2"/>
    <n v="860.15"/>
    <n v="7.3"/>
  </r>
  <r>
    <s v="SABAL-1"/>
    <x v="21"/>
    <n v="2481396.8790000002"/>
    <s v="Valle Inferior del Magdalena"/>
    <x v="2"/>
    <n v="871.68546170000002"/>
    <n v="6.1"/>
  </r>
  <r>
    <s v="SABAL-1"/>
    <x v="21"/>
    <n v="2481396.8790000002"/>
    <s v="Valle Inferior del Magdalena"/>
    <x v="2"/>
    <n v="871.73"/>
    <n v="6.1"/>
  </r>
  <r>
    <s v="SABAL-1"/>
    <x v="21"/>
    <n v="2481396.8790000002"/>
    <s v="Valle Inferior del Magdalena"/>
    <x v="2"/>
    <n v="880.82901549999997"/>
    <n v="4.7"/>
  </r>
  <r>
    <s v="SABAL-1"/>
    <x v="21"/>
    <n v="2481396.8790000002"/>
    <s v="Valle Inferior del Magdalena"/>
    <x v="2"/>
    <n v="880.87"/>
    <n v="4.7"/>
  </r>
  <r>
    <s v="SABAL-1"/>
    <x v="21"/>
    <n v="2481396.8790000002"/>
    <s v="Valle Inferior del Magdalena"/>
    <x v="2"/>
    <n v="883.87686680000002"/>
    <n v="8.4"/>
  </r>
  <r>
    <s v="SABAL-1"/>
    <x v="21"/>
    <n v="2481396.8790000002"/>
    <s v="Valle Inferior del Magdalena"/>
    <x v="2"/>
    <n v="883.92"/>
    <n v="8.4"/>
  </r>
  <r>
    <s v="SABAL-1"/>
    <x v="21"/>
    <n v="2481396.8790000002"/>
    <s v="Valle Inferior del Magdalena"/>
    <x v="2"/>
    <n v="888.44864370000005"/>
    <n v="10.199999999999999"/>
  </r>
  <r>
    <s v="SABAL-1"/>
    <x v="21"/>
    <n v="2481396.8790000002"/>
    <s v="Valle Inferior del Magdalena"/>
    <x v="2"/>
    <n v="888.49"/>
    <n v="10.199999999999999"/>
  </r>
  <r>
    <s v="SABAL-1"/>
    <x v="21"/>
    <n v="2481396.8790000002"/>
    <s v="Valle Inferior del Magdalena"/>
    <x v="2"/>
    <n v="897.5921975"/>
    <n v="5.6"/>
  </r>
  <r>
    <s v="SABAL-1"/>
    <x v="21"/>
    <n v="2481396.8790000002"/>
    <s v="Valle Inferior del Magdalena"/>
    <x v="2"/>
    <n v="897.64"/>
    <n v="5.6"/>
  </r>
  <r>
    <s v="SABAL-1"/>
    <x v="21"/>
    <n v="2481396.8790000002"/>
    <s v="Valle Inferior del Magdalena"/>
    <x v="2"/>
    <n v="905.51661079999997"/>
    <n v="12"/>
  </r>
  <r>
    <s v="SABAL-1"/>
    <x v="21"/>
    <n v="2481396.8790000002"/>
    <s v="Valle Inferior del Magdalena"/>
    <x v="2"/>
    <n v="905.56"/>
    <n v="12"/>
  </r>
  <r>
    <s v="SABAL-1"/>
    <x v="21"/>
    <n v="2481396.8790000002"/>
    <s v="Valle Inferior del Magdalena"/>
    <x v="2"/>
    <n v="911.30752819999998"/>
    <n v="8.6999999999999993"/>
  </r>
  <r>
    <s v="SABAL-1"/>
    <x v="21"/>
    <n v="2481396.8790000002"/>
    <s v="Valle Inferior del Magdalena"/>
    <x v="2"/>
    <n v="911.35"/>
    <n v="8.6999999999999993"/>
  </r>
  <r>
    <s v="SABAL-1"/>
    <x v="21"/>
    <n v="2481396.8790000002"/>
    <s v="Valle Inferior del Magdalena"/>
    <x v="2"/>
    <n v="914.35537950000003"/>
    <n v="9.4"/>
  </r>
  <r>
    <s v="SABAL-1"/>
    <x v="21"/>
    <n v="2481396.8790000002"/>
    <s v="Valle Inferior del Magdalena"/>
    <x v="2"/>
    <n v="914.4"/>
    <n v="9.4"/>
  </r>
  <r>
    <s v="SABAL-1"/>
    <x v="21"/>
    <n v="2481396.8790000002"/>
    <s v="Valle Inferior del Magdalena"/>
    <x v="2"/>
    <n v="920.45108200000004"/>
    <n v="14.3"/>
  </r>
  <r>
    <s v="SABAL-1"/>
    <x v="21"/>
    <n v="2481396.8790000002"/>
    <s v="Valle Inferior del Magdalena"/>
    <x v="2"/>
    <n v="920.5"/>
    <n v="14.3"/>
  </r>
  <r>
    <s v="SABAL-1"/>
    <x v="21"/>
    <n v="2481396.8790000002"/>
    <s v="Valle Inferior del Magdalena"/>
    <x v="2"/>
    <n v="928.07071010000004"/>
    <n v="14"/>
  </r>
  <r>
    <s v="SABAL-1"/>
    <x v="21"/>
    <n v="2481396.8790000002"/>
    <s v="Valle Inferior del Magdalena"/>
    <x v="2"/>
    <n v="928.12"/>
    <n v="14"/>
  </r>
  <r>
    <s v="SABAL-1"/>
    <x v="21"/>
    <n v="2481396.8790000002"/>
    <s v="Valle Inferior del Magdalena"/>
    <x v="2"/>
    <n v="953.97744590000002"/>
    <n v="12.3"/>
  </r>
  <r>
    <s v="SABAL-1"/>
    <x v="21"/>
    <n v="2481396.8790000002"/>
    <s v="Valle Inferior del Magdalena"/>
    <x v="2"/>
    <n v="954.02"/>
    <n v="12.3"/>
  </r>
  <r>
    <s v="SABAL-1"/>
    <x v="21"/>
    <n v="2481396.8790000002"/>
    <s v="Valle Inferior del Magdalena"/>
    <x v="2"/>
    <n v="959.76836330000003"/>
    <n v="7.1"/>
  </r>
  <r>
    <s v="SABAL-1"/>
    <x v="21"/>
    <n v="2481396.8790000002"/>
    <s v="Valle Inferior del Magdalena"/>
    <x v="2"/>
    <n v="959.82"/>
    <n v="7.1"/>
  </r>
  <r>
    <s v="SABAL-1"/>
    <x v="21"/>
    <n v="2481396.8790000002"/>
    <s v="Valle Inferior del Magdalena"/>
    <x v="2"/>
    <n v="966.16885100000002"/>
    <n v="11.6"/>
  </r>
  <r>
    <s v="SABAL-1"/>
    <x v="21"/>
    <n v="2481396.8790000002"/>
    <s v="Valle Inferior del Magdalena"/>
    <x v="2"/>
    <n v="966.22"/>
    <n v="11.6"/>
  </r>
  <r>
    <s v="SABAL-1"/>
    <x v="21"/>
    <n v="2481396.8790000002"/>
    <s v="Valle Inferior del Magdalena"/>
    <x v="2"/>
    <n v="967.6927766"/>
    <n v="3.6"/>
  </r>
  <r>
    <s v="SABAL-1"/>
    <x v="21"/>
    <n v="2481396.8790000002"/>
    <s v="Valle Inferior del Magdalena"/>
    <x v="2"/>
    <n v="967.74"/>
    <n v="3.6"/>
  </r>
  <r>
    <s v="SABAL-1"/>
    <x v="21"/>
    <n v="2481396.8790000002"/>
    <s v="Valle Inferior del Magdalena"/>
    <x v="2"/>
    <n v="971.95976840000003"/>
    <n v="10.1"/>
  </r>
  <r>
    <s v="SABAL-1"/>
    <x v="21"/>
    <n v="2481396.8790000002"/>
    <s v="Valle Inferior del Magdalena"/>
    <x v="2"/>
    <n v="972.01"/>
    <n v="10.1"/>
  </r>
  <r>
    <s v="SABAL-1"/>
    <x v="21"/>
    <n v="2481396.8790000002"/>
    <s v="Valle Inferior del Magdalena"/>
    <x v="2"/>
    <n v="975.31240479999997"/>
    <n v="10.7"/>
  </r>
  <r>
    <s v="SABAL-1"/>
    <x v="21"/>
    <n v="2481396.8790000002"/>
    <s v="Valle Inferior del Magdalena"/>
    <x v="2"/>
    <n v="975.36"/>
    <n v="10.7"/>
  </r>
  <r>
    <s v="SABAL-1"/>
    <x v="21"/>
    <n v="2481396.8790000002"/>
    <s v="Valle Inferior del Magdalena"/>
    <x v="2"/>
    <n v="985.97988420000001"/>
    <n v="2.6"/>
  </r>
  <r>
    <s v="SABAL-1"/>
    <x v="21"/>
    <n v="2481396.8790000002"/>
    <s v="Valle Inferior del Magdalena"/>
    <x v="2"/>
    <n v="986.03"/>
    <n v="2.6"/>
  </r>
  <r>
    <s v="SABAL-1"/>
    <x v="21"/>
    <n v="2481396.8790000002"/>
    <s v="Valle Inferior del Magdalena"/>
    <x v="2"/>
    <n v="1007.619628"/>
    <n v="2.7"/>
  </r>
  <r>
    <s v="SABAL-1"/>
    <x v="21"/>
    <n v="2481396.8790000002"/>
    <s v="Valle Inferior del Magdalena"/>
    <x v="2"/>
    <n v="1007.67"/>
    <n v="2.7"/>
  </r>
  <r>
    <s v="SABAL-1"/>
    <x v="21"/>
    <n v="2481396.8790000002"/>
    <s v="Valle Inferior del Magdalena"/>
    <x v="2"/>
    <n v="1038.707711"/>
    <n v="4.3"/>
  </r>
  <r>
    <s v="SABAL-1"/>
    <x v="21"/>
    <n v="2481396.8790000002"/>
    <s v="Valle Inferior del Magdalena"/>
    <x v="2"/>
    <n v="1038.76"/>
    <n v="4.3"/>
  </r>
  <r>
    <s v="SABAL-1"/>
    <x v="21"/>
    <n v="2481396.8790000002"/>
    <s v="Valle Inferior del Magdalena"/>
    <x v="2"/>
    <n v="1069.7957939999999"/>
    <n v="5.9"/>
  </r>
  <r>
    <s v="SABAL-1"/>
    <x v="21"/>
    <n v="2481396.8790000002"/>
    <s v="Valle Inferior del Magdalena"/>
    <x v="2"/>
    <n v="1069.8499999999999"/>
    <n v="5.9"/>
  </r>
  <r>
    <s v="SABAL-1"/>
    <x v="21"/>
    <n v="2481396.8790000002"/>
    <s v="Valle Inferior del Magdalena"/>
    <x v="2"/>
    <n v="1091.1307529999999"/>
    <n v="12.1"/>
  </r>
  <r>
    <s v="SABAL-1"/>
    <x v="21"/>
    <n v="2481396.8790000002"/>
    <s v="Valle Inferior del Magdalena"/>
    <x v="2"/>
    <n v="1091.18"/>
    <n v="12.1"/>
  </r>
  <r>
    <s v="SABAL-1"/>
    <x v="21"/>
    <n v="2481396.8790000002"/>
    <s v="Valle Inferior del Magdalena"/>
    <x v="2"/>
    <n v="1099.969521"/>
    <n v="6.1"/>
  </r>
  <r>
    <s v="SABAL-1"/>
    <x v="21"/>
    <n v="2481396.8790000002"/>
    <s v="Valle Inferior del Magdalena"/>
    <x v="2"/>
    <n v="1100.02"/>
    <n v="6.1"/>
  </r>
  <r>
    <s v="SABAL-1"/>
    <x v="21"/>
    <n v="2481396.8790000002"/>
    <s v="Valle Inferior del Magdalena"/>
    <x v="2"/>
    <n v="1111.856141"/>
    <n v="3.2"/>
  </r>
  <r>
    <s v="SABAL-1"/>
    <x v="21"/>
    <n v="2481396.8790000002"/>
    <s v="Valle Inferior del Magdalena"/>
    <x v="2"/>
    <n v="1111.9100000000001"/>
    <n v="3.2"/>
  </r>
  <r>
    <s v="SABAL-1"/>
    <x v="21"/>
    <n v="2481396.8790000002"/>
    <s v="Valle Inferior del Magdalena"/>
    <x v="2"/>
    <n v="1123.1331909999999"/>
    <n v="8.6"/>
  </r>
  <r>
    <s v="SABAL-1"/>
    <x v="21"/>
    <n v="2481396.8790000002"/>
    <s v="Valle Inferior del Magdalena"/>
    <x v="2"/>
    <n v="1123.19"/>
    <n v="8.6"/>
  </r>
  <r>
    <s v="SABAL-1"/>
    <x v="21"/>
    <n v="2481396.8790000002"/>
    <s v="Valle Inferior del Magdalena"/>
    <x v="2"/>
    <n v="1130.143249"/>
    <n v="4.4000000000000004"/>
  </r>
  <r>
    <s v="SABAL-1"/>
    <x v="21"/>
    <n v="2481396.8790000002"/>
    <s v="Valle Inferior del Magdalena"/>
    <x v="2"/>
    <n v="1130.2"/>
    <n v="4.4000000000000004"/>
  </r>
  <r>
    <s v="SABAL-1"/>
    <x v="21"/>
    <n v="2481396.8790000002"/>
    <s v="Valle Inferior del Magdalena"/>
    <x v="2"/>
    <n v="1133.800671"/>
    <n v="3.8"/>
  </r>
  <r>
    <s v="SABAL-1"/>
    <x v="21"/>
    <n v="2481396.8790000002"/>
    <s v="Valle Inferior del Magdalena"/>
    <x v="2"/>
    <n v="1133.8599999999999"/>
    <n v="3.8"/>
  </r>
  <r>
    <s v="SABAL-1"/>
    <x v="21"/>
    <n v="2481396.8790000002"/>
    <s v="Valle Inferior del Magdalena"/>
    <x v="2"/>
    <n v="1142.9442240000001"/>
    <n v="2.9"/>
  </r>
  <r>
    <s v="SABAL-1"/>
    <x v="21"/>
    <n v="2481396.8790000002"/>
    <s v="Valle Inferior del Magdalena"/>
    <x v="2"/>
    <n v="1143"/>
    <n v="2.9"/>
  </r>
  <r>
    <s v="SABAL-1"/>
    <x v="21"/>
    <n v="2481396.8790000002"/>
    <s v="Valle Inferior del Magdalena"/>
    <x v="2"/>
    <n v="1156.659555"/>
    <n v="1.7"/>
  </r>
  <r>
    <s v="SABAL-1"/>
    <x v="21"/>
    <n v="2481396.8790000002"/>
    <s v="Valle Inferior del Magdalena"/>
    <x v="2"/>
    <n v="1156.72"/>
    <n v="1.7"/>
  </r>
  <r>
    <s v="SABAL-1"/>
    <x v="21"/>
    <n v="2481396.8790000002"/>
    <s v="Valle Inferior del Magdalena"/>
    <x v="2"/>
    <n v="1185.3093570000001"/>
    <n v="5.3"/>
  </r>
  <r>
    <s v="SABAL-1"/>
    <x v="21"/>
    <n v="2481396.8790000002"/>
    <s v="Valle Inferior del Magdalena"/>
    <x v="2"/>
    <n v="1185.3699999999999"/>
    <n v="5.3"/>
  </r>
  <r>
    <s v="SABAL-1"/>
    <x v="21"/>
    <n v="2481396.8790000002"/>
    <s v="Valle Inferior del Magdalena"/>
    <x v="2"/>
    <n v="1215.483084"/>
    <n v="3.3"/>
  </r>
  <r>
    <s v="SABAL-1"/>
    <x v="21"/>
    <n v="2481396.8790000002"/>
    <s v="Valle Inferior del Magdalena"/>
    <x v="2"/>
    <n v="1215.54"/>
    <n v="3.3"/>
  </r>
  <r>
    <s v="SABAL-1"/>
    <x v="21"/>
    <n v="2481396.8790000002"/>
    <s v="Valle Inferior del Magdalena"/>
    <x v="2"/>
    <n v="1224.626638"/>
    <n v="5.6"/>
  </r>
  <r>
    <s v="SABAL-1"/>
    <x v="21"/>
    <n v="2481396.8790000002"/>
    <s v="Valle Inferior del Magdalena"/>
    <x v="2"/>
    <n v="1224.69"/>
    <n v="5.6"/>
  </r>
  <r>
    <s v="SABAL-1"/>
    <x v="21"/>
    <n v="2481396.8790000002"/>
    <s v="Valle Inferior del Magdalena"/>
    <x v="2"/>
    <n v="1230.11277"/>
    <n v="2.2999999999999998"/>
  </r>
  <r>
    <s v="SABAL-1"/>
    <x v="21"/>
    <n v="2481396.8790000002"/>
    <s v="Valle Inferior del Magdalena"/>
    <x v="2"/>
    <n v="1230.17"/>
    <n v="2.2999999999999998"/>
  </r>
  <r>
    <s v="SABAL-1"/>
    <x v="21"/>
    <n v="2481396.8790000002"/>
    <s v="Valle Inferior del Magdalena"/>
    <x v="2"/>
    <n v="1242.3041760000001"/>
    <n v="2.5"/>
  </r>
  <r>
    <s v="SABAL-1"/>
    <x v="21"/>
    <n v="2481396.8790000002"/>
    <s v="Valle Inferior del Magdalena"/>
    <x v="2"/>
    <n v="1242.3599999999999"/>
    <n v="2.5"/>
  </r>
  <r>
    <s v="SABAL-1"/>
    <x v="21"/>
    <n v="2481396.8790000002"/>
    <s v="Valle Inferior del Magdalena"/>
    <x v="21"/>
    <n v="1330.6918619999999"/>
    <n v="2.6"/>
  </r>
  <r>
    <s v="SABAL-1"/>
    <x v="21"/>
    <n v="2481396.8790000002"/>
    <s v="Valle Inferior del Magdalena"/>
    <x v="21"/>
    <n v="1330.76"/>
    <n v="2.6"/>
  </r>
  <r>
    <s v="SABAL-1"/>
    <x v="21"/>
    <n v="2481396.8790000002"/>
    <s v="Valle Inferior del Magdalena"/>
    <x v="21"/>
    <n v="1336.177995"/>
    <n v="2.9"/>
  </r>
  <r>
    <s v="SABAL-1"/>
    <x v="21"/>
    <n v="2481396.8790000002"/>
    <s v="Valle Inferior del Magdalena"/>
    <x v="21"/>
    <n v="1336.24"/>
    <n v="2.9"/>
  </r>
  <r>
    <s v="SABAL-1"/>
    <x v="21"/>
    <n v="2481396.8790000002"/>
    <s v="Valle Inferior del Magdalena"/>
    <x v="21"/>
    <n v="1341.0545569999999"/>
    <n v="4.8"/>
  </r>
  <r>
    <s v="SABAL-1"/>
    <x v="21"/>
    <n v="2481396.8790000002"/>
    <s v="Valle Inferior del Magdalena"/>
    <x v="21"/>
    <n v="1341.12"/>
    <n v="4.8"/>
  </r>
  <r>
    <s v="SABAL-1"/>
    <x v="21"/>
    <n v="2481396.8790000002"/>
    <s v="Valle Inferior del Magdalena"/>
    <x v="21"/>
    <n v="1377.628772"/>
    <n v="4.8"/>
  </r>
  <r>
    <s v="SABAL-1"/>
    <x v="21"/>
    <n v="2481396.8790000002"/>
    <s v="Valle Inferior del Magdalena"/>
    <x v="21"/>
    <n v="1377.7"/>
    <n v="4.8"/>
  </r>
  <r>
    <s v="SABAL-1"/>
    <x v="21"/>
    <n v="2481396.8790000002"/>
    <s v="Valle Inferior del Magdalena"/>
    <x v="21"/>
    <n v="1391.344102"/>
    <n v="3.5"/>
  </r>
  <r>
    <s v="SABAL-1"/>
    <x v="21"/>
    <n v="2481396.8790000002"/>
    <s v="Valle Inferior del Magdalena"/>
    <x v="21"/>
    <n v="1391.41"/>
    <n v="3.5"/>
  </r>
  <r>
    <s v="SABAL-1"/>
    <x v="21"/>
    <n v="2481396.8790000002"/>
    <s v="Valle Inferior del Magdalena"/>
    <x v="18"/>
    <n v="1402.0115820000001"/>
    <n v="2.4"/>
  </r>
  <r>
    <s v="SABAL-1"/>
    <x v="21"/>
    <n v="2481396.8790000002"/>
    <s v="Valle Inferior del Magdalena"/>
    <x v="18"/>
    <n v="1402.08"/>
    <n v="2.4"/>
  </r>
  <r>
    <s v="SABAL-1"/>
    <x v="21"/>
    <n v="2481396.8790000002"/>
    <s v="Valle Inferior del Magdalena"/>
    <x v="18"/>
    <n v="1417.2508379999999"/>
    <n v="5"/>
  </r>
  <r>
    <s v="SABAL-1"/>
    <x v="21"/>
    <n v="2481396.8790000002"/>
    <s v="Valle Inferior del Magdalena"/>
    <x v="18"/>
    <n v="1417.32"/>
    <n v="5"/>
  </r>
  <r>
    <s v="SABAL-1"/>
    <x v="21"/>
    <n v="2481396.8790000002"/>
    <s v="Valle Inferior del Magdalena"/>
    <x v="18"/>
    <n v="1420.298689"/>
    <n v="3.7"/>
  </r>
  <r>
    <s v="SABAL-1"/>
    <x v="21"/>
    <n v="2481396.8790000002"/>
    <s v="Valle Inferior del Magdalena"/>
    <x v="18"/>
    <n v="1420.37"/>
    <n v="3.7"/>
  </r>
  <r>
    <s v="SABAL-1"/>
    <x v="21"/>
    <n v="2481396.8790000002"/>
    <s v="Valle Inferior del Magdalena"/>
    <x v="18"/>
    <n v="1426.3943919999999"/>
    <n v="5"/>
  </r>
  <r>
    <s v="SABAL-1"/>
    <x v="21"/>
    <n v="2481396.8790000002"/>
    <s v="Valle Inferior del Magdalena"/>
    <x v="18"/>
    <n v="1426.46"/>
    <n v="5"/>
  </r>
  <r>
    <s v="SABAL-1"/>
    <x v="21"/>
    <n v="2481396.8790000002"/>
    <s v="Valle Inferior del Magdalena"/>
    <x v="18"/>
    <n v="1429.442243"/>
    <n v="4.9000000000000004"/>
  </r>
  <r>
    <s v="SABAL-1"/>
    <x v="21"/>
    <n v="2481396.8790000002"/>
    <s v="Valle Inferior del Magdalena"/>
    <x v="18"/>
    <n v="1429.51"/>
    <n v="4.9000000000000004"/>
  </r>
  <r>
    <s v="SABAL-1"/>
    <x v="21"/>
    <n v="2481396.8790000002"/>
    <s v="Valle Inferior del Magdalena"/>
    <x v="18"/>
    <n v="1432.490094"/>
    <n v="3.7"/>
  </r>
  <r>
    <s v="SABAL-1"/>
    <x v="21"/>
    <n v="2481396.8790000002"/>
    <s v="Valle Inferior del Magdalena"/>
    <x v="18"/>
    <n v="1432.56"/>
    <n v="3.7"/>
  </r>
  <r>
    <s v="SANTA CATALINA-1"/>
    <x v="22"/>
    <n v="2410721"/>
    <s v="Valle Medio del Magdalena"/>
    <x v="22"/>
    <n v="1054.6099999999999"/>
    <n v="14.2"/>
  </r>
  <r>
    <s v="SANTA CATALINA-1"/>
    <x v="22"/>
    <n v="2410721"/>
    <s v="Valle Medio del Magdalena"/>
    <x v="22"/>
    <n v="1060.7"/>
    <n v="31.5"/>
  </r>
  <r>
    <s v="SANTA CATALINA-1"/>
    <x v="22"/>
    <n v="2410721"/>
    <s v="Valle Medio del Magdalena"/>
    <x v="23"/>
    <n v="1347.22"/>
    <n v="29.1"/>
  </r>
  <r>
    <s v="SANTA CATALINA-1"/>
    <x v="22"/>
    <n v="2410721"/>
    <s v="Valle Medio del Magdalena"/>
    <x v="23"/>
    <n v="1405.13"/>
    <n v="27.2"/>
  </r>
  <r>
    <s v="SANTA CATALINA-1"/>
    <x v="22"/>
    <n v="2410721"/>
    <s v="Valle Medio del Magdalena"/>
    <x v="23"/>
    <n v="1441.7"/>
    <n v="30.9"/>
  </r>
  <r>
    <s v="SANTA CATALINA-1"/>
    <x v="22"/>
    <n v="2410721"/>
    <s v="Valle Medio del Magdalena"/>
    <x v="24"/>
    <n v="2188.46"/>
    <n v="28.9"/>
  </r>
  <r>
    <s v="SANTA CATALINA-1"/>
    <x v="22"/>
    <n v="2410721"/>
    <s v="Valle Medio del Magdalena"/>
    <x v="24"/>
    <n v="2255.52"/>
    <n v="29.5"/>
  </r>
  <r>
    <s v="SANTA CATALINA-1"/>
    <x v="22"/>
    <n v="2410721"/>
    <s v="Valle Medio del Magdalena"/>
    <x v="24"/>
    <n v="2307.34"/>
    <n v="29.4"/>
  </r>
  <r>
    <s v="SANTA CATALINA-1"/>
    <x v="22"/>
    <n v="2410721"/>
    <s v="Valle Medio del Magdalena"/>
    <x v="24"/>
    <n v="2346.96"/>
    <n v="27.1"/>
  </r>
  <r>
    <s v="SANTA CATALINA-1"/>
    <x v="22"/>
    <n v="2410721"/>
    <s v="Valle Medio del Magdalena"/>
    <x v="24"/>
    <n v="2361.59"/>
    <n v="18.8"/>
  </r>
  <r>
    <s v="SANTA CATALINA-1"/>
    <x v="22"/>
    <n v="2410721"/>
    <s v="Valle Medio del Magdalena"/>
    <x v="24"/>
    <n v="2417.06"/>
    <n v="24.3"/>
  </r>
  <r>
    <s v="SANTA CATALINA-1"/>
    <x v="22"/>
    <n v="2410721"/>
    <s v="Valle Medio del Magdalena"/>
    <x v="24"/>
    <n v="2450.59"/>
    <n v="19.100000000000001"/>
  </r>
  <r>
    <s v="SANTA CATALINA-1"/>
    <x v="22"/>
    <n v="2410721"/>
    <s v="Valle Medio del Magdalena"/>
    <x v="24"/>
    <n v="2465.83"/>
    <n v="21"/>
  </r>
  <r>
    <s v="SANTA CATALINA-1"/>
    <x v="22"/>
    <n v="2410721"/>
    <s v="Valle Medio del Magdalena"/>
    <x v="24"/>
    <n v="2490.2199999999998"/>
    <n v="23.4"/>
  </r>
  <r>
    <s v="SANTA CATALINA-1"/>
    <x v="22"/>
    <n v="2410721"/>
    <s v="Valle Medio del Magdalena"/>
    <x v="24"/>
    <n v="2493.2600000000002"/>
    <n v="21.6"/>
  </r>
  <r>
    <s v="SANTA CATALINA-1"/>
    <x v="22"/>
    <n v="2410721"/>
    <s v="Valle Medio del Magdalena"/>
    <x v="24"/>
    <n v="2514.6"/>
    <n v="18.100000000000001"/>
  </r>
  <r>
    <s v="SANTA CATALINA-1"/>
    <x v="22"/>
    <n v="2410721"/>
    <s v="Valle Medio del Magdalena"/>
    <x v="10"/>
    <n v="2660.9"/>
    <n v="24.93333333"/>
  </r>
  <r>
    <s v="SIMITI-3"/>
    <x v="23"/>
    <n v="2419105"/>
    <s v="Valle Medio del Magdalena"/>
    <x v="25"/>
    <n v="1159.6116"/>
    <n v="22"/>
  </r>
  <r>
    <s v="SIMITI-3"/>
    <x v="23"/>
    <n v="2419105"/>
    <s v="Valle Medio del Magdalena"/>
    <x v="25"/>
    <n v="1160.4955199999999"/>
    <n v="8.8000000000000007"/>
  </r>
  <r>
    <s v="SIMITI-3"/>
    <x v="23"/>
    <n v="2419105"/>
    <s v="Valle Medio del Magdalena"/>
    <x v="25"/>
    <n v="1160.8308"/>
    <n v="19.5"/>
  </r>
  <r>
    <s v="SIMITI-3"/>
    <x v="23"/>
    <n v="2419105"/>
    <s v="Valle Medio del Magdalena"/>
    <x v="25"/>
    <n v="1161.288"/>
    <n v="11.2"/>
  </r>
  <r>
    <s v="SIMITI-3"/>
    <x v="23"/>
    <n v="2419105"/>
    <s v="Valle Medio del Magdalena"/>
    <x v="25"/>
    <n v="1161.8979999999999"/>
    <n v="9"/>
  </r>
  <r>
    <s v="SIMITI-3"/>
    <x v="23"/>
    <n v="2419105"/>
    <s v="Valle Medio del Magdalena"/>
    <x v="25"/>
    <n v="1162.5070000000001"/>
    <n v="16.7"/>
  </r>
  <r>
    <s v="SIMITI-3"/>
    <x v="23"/>
    <n v="2419105"/>
    <s v="Valle Medio del Magdalena"/>
    <x v="25"/>
    <n v="1165.7076"/>
    <n v="15.2"/>
  </r>
  <r>
    <s v="SIMITI-3"/>
    <x v="23"/>
    <n v="2419105"/>
    <s v="Valle Medio del Magdalena"/>
    <x v="25"/>
    <n v="1166.0124000000001"/>
    <n v="13.5"/>
  </r>
  <r>
    <s v="SIMITI-3"/>
    <x v="23"/>
    <n v="2419105"/>
    <s v="Valle Medio del Magdalena"/>
    <x v="25"/>
    <n v="1168.146"/>
    <n v="17.7"/>
  </r>
  <r>
    <s v="SIMITI-3"/>
    <x v="23"/>
    <n v="2419105"/>
    <s v="Valle Medio del Magdalena"/>
    <x v="14"/>
    <n v="1263.2436"/>
    <n v="23.1"/>
  </r>
  <r>
    <s v="SIMITI-3"/>
    <x v="23"/>
    <n v="2419105"/>
    <s v="Valle Medio del Magdalena"/>
    <x v="14"/>
    <n v="1264.92"/>
    <n v="21"/>
  </r>
  <r>
    <s v="SIMITI-3"/>
    <x v="23"/>
    <n v="2419105"/>
    <s v="Valle Medio del Magdalena"/>
    <x v="14"/>
    <n v="1281.3789999999999"/>
    <n v="24"/>
  </r>
  <r>
    <s v="SIMITI-3"/>
    <x v="23"/>
    <n v="2419105"/>
    <s v="Valle Medio del Magdalena"/>
    <x v="14"/>
    <n v="1286.2560000000001"/>
    <n v="24"/>
  </r>
  <r>
    <s v="TAGUI-1"/>
    <x v="24"/>
    <n v="2363649"/>
    <s v="Valle Medio del Magdalena"/>
    <x v="26"/>
    <n v="2167.89"/>
    <n v="18"/>
  </r>
  <r>
    <s v="TAGUI-1"/>
    <x v="24"/>
    <n v="2363649"/>
    <s v="Valle Medio del Magdalena"/>
    <x v="26"/>
    <n v="2334.31"/>
    <n v="20.2"/>
  </r>
  <r>
    <s v="TAGUI-1"/>
    <x v="24"/>
    <n v="2363649"/>
    <s v="Valle Medio del Magdalena"/>
    <x v="26"/>
    <n v="2504.08"/>
    <n v="8.5"/>
  </r>
  <r>
    <s v="TAGUI-1"/>
    <x v="24"/>
    <n v="2363649"/>
    <s v="Valle Medio del Magdalena"/>
    <x v="26"/>
    <n v="2772.16"/>
    <n v="6.8333333329999997"/>
  </r>
  <r>
    <s v="TAGUI-1"/>
    <x v="24"/>
    <n v="2363649"/>
    <s v="Valle Medio del Magdalena"/>
    <x v="26"/>
    <n v="2909.62"/>
    <n v="5.0999999999999996"/>
  </r>
  <r>
    <s v="TAGUI-1"/>
    <x v="24"/>
    <n v="2363649"/>
    <s v="Valle Medio del Magdalena"/>
    <x v="26"/>
    <n v="3179.83"/>
    <n v="13.2"/>
  </r>
  <r>
    <s v="TAGUI-1"/>
    <x v="24"/>
    <n v="2363649"/>
    <s v="Valle Medio del Magdalena"/>
    <x v="26"/>
    <n v="3330.7"/>
    <n v="22.15"/>
  </r>
  <r>
    <s v="TISQUIRAMA ESTE-1"/>
    <x v="25"/>
    <n v="2446576"/>
    <s v="Valle Inferior del Magdalena"/>
    <x v="14"/>
    <n v="2591.41"/>
    <n v="14.5"/>
  </r>
  <r>
    <s v="TISQUIRAMA ESTE-1"/>
    <x v="25"/>
    <n v="2446576"/>
    <s v="Valle Inferior del Magdalena"/>
    <x v="14"/>
    <n v="2597.81"/>
    <n v="22.1"/>
  </r>
  <r>
    <s v="TOPOSI-2"/>
    <x v="26"/>
    <n v="2477840"/>
    <s v="Valle Inferior del Magdalena"/>
    <x v="1"/>
    <n v="1250.5899999999999"/>
    <n v="6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1E34A-CD4D-41D3-87BC-856D10F2813A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24">
    <pivotField axis="axisCol" showAll="0">
      <items count="6">
        <item x="3"/>
        <item x="0"/>
        <item x="1"/>
        <item x="4"/>
        <item x="2"/>
        <item t="default"/>
      </items>
    </pivotField>
    <pivotField dataField="1" showAll="0">
      <items count="7">
        <item x="2"/>
        <item x="3"/>
        <item x="1"/>
        <item x="0"/>
        <item x="4"/>
        <item x="5"/>
        <item t="default"/>
      </items>
    </pivotField>
    <pivotField dataField="1" showAll="0">
      <items count="23">
        <item x="18"/>
        <item x="13"/>
        <item x="12"/>
        <item x="10"/>
        <item x="2"/>
        <item x="15"/>
        <item x="9"/>
        <item x="3"/>
        <item x="11"/>
        <item x="4"/>
        <item x="1"/>
        <item x="14"/>
        <item x="6"/>
        <item x="5"/>
        <item x="0"/>
        <item x="17"/>
        <item x="19"/>
        <item x="21"/>
        <item x="7"/>
        <item x="8"/>
        <item x="20"/>
        <item x="16"/>
        <item t="default"/>
      </items>
    </pivotField>
    <pivotField dataField="1" showAll="0"/>
    <pivotField dataField="1" showAll="0"/>
    <pivotField dataField="1" showAll="0"/>
    <pivotField dataField="1" showAll="0">
      <items count="25">
        <item x="8"/>
        <item x="19"/>
        <item x="23"/>
        <item x="9"/>
        <item x="3"/>
        <item x="7"/>
        <item x="20"/>
        <item x="5"/>
        <item x="4"/>
        <item x="13"/>
        <item x="2"/>
        <item x="14"/>
        <item x="12"/>
        <item x="1"/>
        <item x="10"/>
        <item x="11"/>
        <item x="0"/>
        <item x="6"/>
        <item x="18"/>
        <item x="22"/>
        <item x="21"/>
        <item x="15"/>
        <item x="17"/>
        <item x="16"/>
        <item t="default"/>
      </items>
    </pivotField>
    <pivotField dataField="1" showAll="0">
      <items count="23">
        <item x="8"/>
        <item x="3"/>
        <item x="11"/>
        <item x="2"/>
        <item x="0"/>
        <item x="1"/>
        <item x="4"/>
        <item x="7"/>
        <item x="10"/>
        <item x="21"/>
        <item x="5"/>
        <item x="9"/>
        <item x="6"/>
        <item x="19"/>
        <item x="16"/>
        <item x="20"/>
        <item x="15"/>
        <item x="13"/>
        <item x="14"/>
        <item x="12"/>
        <item x="17"/>
        <item x="1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</pivotFields>
  <rowFields count="1">
    <field x="-2"/>
  </rowFields>
  <row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7">
    <dataField name="Average of pH" fld="2" subtotal="average" baseField="0" baseItem="0"/>
    <dataField name="Average of Na⁺ (mg/L)" fld="6" subtotal="average" baseField="0" baseItem="0"/>
    <dataField name="Average of Mg²⁺ (mg/L)" fld="8" subtotal="average" baseField="0" baseItem="0"/>
    <dataField name="Average of Ca²⁺ (mg/L)" fld="9" subtotal="average" baseField="0" baseItem="0"/>
    <dataField name="Average of Fe²⁺ (mg/L)" fld="11" subtotal="average" baseField="0" baseItem="0"/>
    <dataField name="Average of Al³⁺ (mg/L)" fld="13" subtotal="average" baseField="0" baseItem="0"/>
    <dataField name="Average of Cl⁻ (mg/L)" fld="14" subtotal="average" baseField="0" baseItem="0"/>
    <dataField name="Average of HCO₃⁻ (mg/L)" fld="15" subtotal="average" baseField="0" baseItem="0"/>
    <dataField name="Average of Mn²⁺ (mg/L)" fld="12" subtotal="average" baseField="0" baseItem="0"/>
    <dataField name="Average of CO₃²⁻ (mg/L)" fld="16" subtotal="average" baseField="0" baseItem="0"/>
    <dataField name="Average of Sulfates SO₄²⁻ (mg/L)" fld="17" subtotal="average" baseField="0" baseItem="0"/>
    <dataField name="Average of K⁺ (mg/L)" fld="7" subtotal="average" baseField="0" baseItem="0"/>
    <dataField name="Average of Sr²⁺ (mg/L)" fld="10" subtotal="average" baseField="0" baseItem="0"/>
    <dataField name="Average of Temperature (°C)" fld="3" subtotal="average" baseField="0" baseItem="0"/>
    <dataField name="Average of Electric conductivity (mS/cm)" fld="4" subtotal="average" baseField="0" baseItem="0"/>
    <dataField name="Average of Total dissolved solids (ppm)" fld="5" subtotal="average" baseField="0" baseItem="0"/>
    <dataField name="Average of Depth (m)" fld="1" subtotal="average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0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-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A2244-002C-4084-B2BB-73EDF44DBA72}" name="PivotTable2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0" firstHeaderRow="1" firstDataRow="2" firstDataCol="1"/>
  <pivotFields count="15">
    <pivotField axis="axisCol" dataField="1" showAll="0">
      <items count="7">
        <item x="1"/>
        <item x="5"/>
        <item x="3"/>
        <item x="2"/>
        <item x="4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6">
    <dataField name="Average of Cuarzo (%)" fld="1" subtotal="average" baseField="0" baseItem="0"/>
    <dataField name="StdDev of Cuarzo (%)" fld="1" subtotal="stdDev" baseField="0" baseItem="0"/>
    <dataField name="Average of Feldespato (%)" fld="2" subtotal="average" baseField="0" baseItem="0"/>
    <dataField name="Average of Plagioclasa (%)" fld="3" subtotal="average" baseField="0" baseItem="0"/>
    <dataField name="Average of Calcilta (%)" fld="4" subtotal="average" baseField="0" baseItem="0"/>
    <dataField name="Average of Dolomita (%)" fld="5" subtotal="average" baseField="0" baseItem="0"/>
    <dataField name="Average of Pirita (%)" fld="6" subtotal="average" baseField="0" baseItem="0"/>
    <dataField name="Average of Arcilla total (%)" fld="7" subtotal="average" baseField="0" baseItem="0"/>
    <dataField name="Average of Ilita (%)" fld="8" subtotal="average" baseField="0" baseItem="0"/>
    <dataField name="Average of Esmectita (%)" fld="9" subtotal="average" baseField="0" baseItem="0"/>
    <dataField name="Average of Clorita (%)" fld="10" subtotal="average" baseField="0" baseItem="0"/>
    <dataField name="Average of Caolinita (%)" fld="11" subtotal="average" baseField="0" baseItem="0"/>
    <dataField name="Average of Moscovita (%)" fld="12" subtotal="average" baseField="0" baseItem="0"/>
    <dataField name="Average of Silice" fld="13" subtotal="average" baseField="0" baseItem="0"/>
    <dataField name="Average of Chert(%)" fld="14" subtotal="average" baseField="0" baseItem="0"/>
    <dataField name="Count of Fora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2BAC3-06BA-426C-BD19-0735E1C4290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7">
    <pivotField showAll="0"/>
    <pivotField showAll="0"/>
    <pivotField showAll="0"/>
    <pivotField showAll="0"/>
    <pivotField axis="axisRow" multipleItemSelectionAllowed="1" showAll="0">
      <items count="28">
        <item h="1" x="1"/>
        <item h="1" x="26"/>
        <item h="1" x="4"/>
        <item h="1" x="20"/>
        <item h="1" x="0"/>
        <item h="1" x="3"/>
        <item h="1" x="12"/>
        <item h="1" x="13"/>
        <item h="1" x="25"/>
        <item h="1" x="23"/>
        <item h="1" x="17"/>
        <item h="1" x="24"/>
        <item h="1" x="16"/>
        <item x="2"/>
        <item h="1" x="9"/>
        <item h="1" x="14"/>
        <item x="19"/>
        <item h="1" x="7"/>
        <item h="1" x="22"/>
        <item h="1" x="8"/>
        <item x="5"/>
        <item h="1" x="15"/>
        <item h="1" x="6"/>
        <item h="1" x="21"/>
        <item x="18"/>
        <item x="10"/>
        <item h="1" x="11"/>
        <item t="default"/>
      </items>
    </pivotField>
    <pivotField showAll="0"/>
    <pivotField dataField="1" showAll="0"/>
  </pivotFields>
  <rowFields count="1">
    <field x="4"/>
  </rowFields>
  <rowItems count="6">
    <i>
      <x v="13"/>
    </i>
    <i>
      <x v="16"/>
    </i>
    <i>
      <x v="20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orosidad_porcentaje" fld="6" subtotal="average" baseField="4" baseItem="0"/>
    <dataField name="StdDev of porosidad_porcentaje2" fld="6" subtotal="stdDev" baseField="4" baseItem="0"/>
    <dataField name="Count of porosidad_porcentaje" fld="6" subtotal="count" baseField="4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zoomScale="115" zoomScaleNormal="115" workbookViewId="0">
      <selection activeCell="K19" sqref="K19"/>
    </sheetView>
  </sheetViews>
  <sheetFormatPr baseColWidth="10" defaultColWidth="9.140625" defaultRowHeight="15" x14ac:dyDescent="0.25"/>
  <cols>
    <col min="1" max="1" width="22.7109375" bestFit="1" customWidth="1"/>
    <col min="2" max="2" width="10.85546875" bestFit="1" customWidth="1"/>
    <col min="5" max="5" width="27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157</v>
      </c>
      <c r="S1" t="s">
        <v>158</v>
      </c>
      <c r="T1" t="s">
        <v>160</v>
      </c>
      <c r="U1" t="s">
        <v>159</v>
      </c>
      <c r="V1" t="s">
        <v>17</v>
      </c>
      <c r="W1" t="s">
        <v>161</v>
      </c>
    </row>
    <row r="2" spans="1:23" x14ac:dyDescent="0.25">
      <c r="A2" t="s">
        <v>18</v>
      </c>
      <c r="B2">
        <v>1828</v>
      </c>
      <c r="C2">
        <v>6.89</v>
      </c>
      <c r="D2">
        <v>26.5</v>
      </c>
      <c r="E2">
        <v>70.599999999999994</v>
      </c>
      <c r="F2">
        <v>39290</v>
      </c>
      <c r="G2">
        <v>20691</v>
      </c>
      <c r="H2">
        <v>49.67</v>
      </c>
      <c r="I2">
        <v>129.55000000000001</v>
      </c>
      <c r="J2">
        <v>4097.5</v>
      </c>
      <c r="K2">
        <v>278.38</v>
      </c>
      <c r="L2">
        <v>0.88</v>
      </c>
      <c r="M2">
        <v>8.3699999999999992</v>
      </c>
      <c r="N2">
        <v>0.5</v>
      </c>
      <c r="O2">
        <v>23216.01</v>
      </c>
      <c r="P2">
        <v>56.95</v>
      </c>
      <c r="Q2">
        <v>0</v>
      </c>
      <c r="R2">
        <v>2.17</v>
      </c>
      <c r="S2">
        <v>1</v>
      </c>
      <c r="V2">
        <v>25198.9</v>
      </c>
    </row>
    <row r="3" spans="1:23" x14ac:dyDescent="0.25">
      <c r="A3" t="s">
        <v>18</v>
      </c>
      <c r="B3">
        <v>1828</v>
      </c>
      <c r="C3">
        <v>6.54</v>
      </c>
      <c r="D3">
        <v>26.3</v>
      </c>
      <c r="E3">
        <v>72.3</v>
      </c>
      <c r="F3">
        <v>36730</v>
      </c>
      <c r="G3">
        <v>19657</v>
      </c>
      <c r="H3">
        <v>54.83</v>
      </c>
      <c r="I3">
        <v>191.43</v>
      </c>
      <c r="J3">
        <v>3762.5</v>
      </c>
      <c r="K3">
        <v>265</v>
      </c>
      <c r="L3">
        <v>2.4</v>
      </c>
      <c r="M3">
        <v>11.24</v>
      </c>
      <c r="N3">
        <v>0.5</v>
      </c>
      <c r="O3">
        <v>22693.71</v>
      </c>
      <c r="P3">
        <v>73.22</v>
      </c>
      <c r="Q3">
        <v>0</v>
      </c>
      <c r="R3">
        <v>16.28</v>
      </c>
      <c r="S3">
        <v>2.62</v>
      </c>
      <c r="V3">
        <v>23871.68</v>
      </c>
    </row>
    <row r="4" spans="1:23" x14ac:dyDescent="0.25">
      <c r="A4" t="s">
        <v>18</v>
      </c>
      <c r="B4">
        <v>1828</v>
      </c>
      <c r="C4">
        <v>6.04</v>
      </c>
      <c r="D4">
        <v>26.4</v>
      </c>
      <c r="E4">
        <v>67.099999999999994</v>
      </c>
      <c r="F4">
        <v>34180</v>
      </c>
      <c r="G4">
        <v>18261</v>
      </c>
      <c r="H4">
        <v>46.3</v>
      </c>
      <c r="I4">
        <v>134.91</v>
      </c>
      <c r="J4">
        <v>6235</v>
      </c>
      <c r="K4">
        <v>268.63</v>
      </c>
      <c r="L4">
        <v>11.12</v>
      </c>
      <c r="M4">
        <v>9.27</v>
      </c>
      <c r="N4">
        <v>0.5</v>
      </c>
      <c r="O4">
        <v>23158.16</v>
      </c>
      <c r="P4">
        <v>40.68</v>
      </c>
      <c r="Q4">
        <v>0</v>
      </c>
      <c r="R4">
        <v>37.89</v>
      </c>
      <c r="S4">
        <v>6.1</v>
      </c>
      <c r="V4">
        <v>24926.05</v>
      </c>
    </row>
    <row r="5" spans="1:23" x14ac:dyDescent="0.25">
      <c r="A5" t="s">
        <v>18</v>
      </c>
      <c r="B5">
        <v>1828</v>
      </c>
      <c r="C5">
        <v>6.23</v>
      </c>
      <c r="D5">
        <v>26.3</v>
      </c>
      <c r="E5">
        <v>55.1</v>
      </c>
      <c r="F5">
        <v>21210</v>
      </c>
      <c r="G5">
        <v>12280</v>
      </c>
      <c r="H5">
        <v>39.83</v>
      </c>
      <c r="I5">
        <v>228.2</v>
      </c>
      <c r="J5">
        <v>3610</v>
      </c>
      <c r="K5">
        <v>135.38</v>
      </c>
      <c r="L5">
        <v>1.64</v>
      </c>
      <c r="M5">
        <v>7.89</v>
      </c>
      <c r="N5">
        <v>0.5</v>
      </c>
      <c r="O5">
        <v>17591.27</v>
      </c>
      <c r="P5">
        <v>36.61</v>
      </c>
      <c r="Q5">
        <v>0</v>
      </c>
      <c r="R5">
        <v>3.81</v>
      </c>
      <c r="S5">
        <v>1</v>
      </c>
      <c r="V5">
        <v>16266.83</v>
      </c>
    </row>
    <row r="6" spans="1:23" x14ac:dyDescent="0.25">
      <c r="A6" t="s">
        <v>18</v>
      </c>
      <c r="B6">
        <v>1798</v>
      </c>
      <c r="C6">
        <v>6.41</v>
      </c>
      <c r="D6">
        <v>26</v>
      </c>
      <c r="E6">
        <v>75.3</v>
      </c>
      <c r="F6">
        <v>37220</v>
      </c>
      <c r="G6">
        <v>16328</v>
      </c>
      <c r="H6">
        <v>56.74</v>
      </c>
      <c r="I6">
        <v>216.78</v>
      </c>
      <c r="J6">
        <v>5775</v>
      </c>
      <c r="K6">
        <v>357.25</v>
      </c>
      <c r="L6">
        <v>1.1000000000000001</v>
      </c>
      <c r="M6">
        <v>12.31</v>
      </c>
      <c r="N6">
        <v>0.5</v>
      </c>
      <c r="O6">
        <v>25586.43</v>
      </c>
      <c r="P6">
        <v>73.22</v>
      </c>
      <c r="Q6">
        <v>0</v>
      </c>
      <c r="R6">
        <v>4.3099999999999996</v>
      </c>
      <c r="S6">
        <v>1</v>
      </c>
      <c r="V6">
        <v>22674.46</v>
      </c>
    </row>
    <row r="7" spans="1:23" x14ac:dyDescent="0.25">
      <c r="A7" t="s">
        <v>18</v>
      </c>
      <c r="B7">
        <v>1798</v>
      </c>
      <c r="C7">
        <v>6.8</v>
      </c>
      <c r="D7">
        <v>25.8</v>
      </c>
      <c r="E7">
        <v>67.5</v>
      </c>
      <c r="F7">
        <v>38480</v>
      </c>
      <c r="G7">
        <v>15013</v>
      </c>
      <c r="H7">
        <v>84.46</v>
      </c>
      <c r="I7">
        <v>283.95</v>
      </c>
      <c r="J7">
        <v>3927.5</v>
      </c>
      <c r="K7">
        <v>338.63</v>
      </c>
      <c r="L7">
        <v>2.17</v>
      </c>
      <c r="M7">
        <v>3.35</v>
      </c>
      <c r="N7">
        <v>0.5</v>
      </c>
      <c r="O7">
        <v>21809.82</v>
      </c>
      <c r="P7">
        <v>109.83</v>
      </c>
      <c r="Q7">
        <v>0</v>
      </c>
      <c r="R7">
        <v>19.89</v>
      </c>
      <c r="S7">
        <v>3.2</v>
      </c>
      <c r="V7">
        <v>19543.73</v>
      </c>
    </row>
    <row r="8" spans="1:23" x14ac:dyDescent="0.25">
      <c r="A8" t="s">
        <v>18</v>
      </c>
      <c r="B8">
        <v>1798</v>
      </c>
      <c r="C8">
        <v>6.8</v>
      </c>
      <c r="D8">
        <v>25.8</v>
      </c>
      <c r="E8">
        <v>78.2</v>
      </c>
      <c r="F8">
        <v>31640</v>
      </c>
      <c r="G8">
        <v>21019</v>
      </c>
      <c r="H8">
        <v>195.71</v>
      </c>
      <c r="I8">
        <v>332.95</v>
      </c>
      <c r="J8">
        <v>3172.5</v>
      </c>
      <c r="K8">
        <v>431</v>
      </c>
      <c r="L8">
        <v>0.98</v>
      </c>
      <c r="M8">
        <v>0.71</v>
      </c>
      <c r="N8">
        <v>0.5</v>
      </c>
      <c r="O8">
        <v>26631.02</v>
      </c>
      <c r="P8">
        <v>113.9</v>
      </c>
      <c r="Q8">
        <v>0</v>
      </c>
      <c r="R8">
        <v>81.11</v>
      </c>
      <c r="S8">
        <v>13.06</v>
      </c>
      <c r="V8">
        <v>25039.45</v>
      </c>
    </row>
    <row r="9" spans="1:23" x14ac:dyDescent="0.25">
      <c r="A9" t="s">
        <v>18</v>
      </c>
      <c r="B9">
        <v>1798</v>
      </c>
      <c r="C9">
        <v>6.72</v>
      </c>
      <c r="D9">
        <v>25.9</v>
      </c>
      <c r="E9">
        <v>67.5</v>
      </c>
      <c r="F9">
        <v>34250</v>
      </c>
      <c r="G9">
        <v>13916</v>
      </c>
      <c r="H9">
        <v>63.39</v>
      </c>
      <c r="I9">
        <v>282.2</v>
      </c>
      <c r="J9">
        <v>2930</v>
      </c>
      <c r="K9">
        <v>317.13</v>
      </c>
      <c r="L9">
        <v>1.51</v>
      </c>
      <c r="M9">
        <v>2.74</v>
      </c>
      <c r="N9">
        <v>0.5</v>
      </c>
      <c r="O9">
        <v>22010.71</v>
      </c>
      <c r="P9">
        <v>101.69</v>
      </c>
      <c r="Q9">
        <v>0</v>
      </c>
      <c r="R9">
        <v>13.44</v>
      </c>
      <c r="S9">
        <v>2.16</v>
      </c>
      <c r="V9">
        <v>17411.78</v>
      </c>
    </row>
    <row r="10" spans="1:23" x14ac:dyDescent="0.25">
      <c r="A10" t="s">
        <v>18</v>
      </c>
      <c r="B10">
        <v>793</v>
      </c>
      <c r="C10">
        <v>7.65</v>
      </c>
      <c r="D10">
        <v>25.8</v>
      </c>
      <c r="E10">
        <v>9.01</v>
      </c>
      <c r="F10">
        <v>4640</v>
      </c>
      <c r="G10">
        <v>4165</v>
      </c>
      <c r="H10">
        <v>14.22</v>
      </c>
      <c r="I10">
        <v>41.18</v>
      </c>
      <c r="J10">
        <v>107.4</v>
      </c>
      <c r="K10">
        <v>5.01</v>
      </c>
      <c r="L10">
        <v>0.48</v>
      </c>
      <c r="M10">
        <v>0.2</v>
      </c>
      <c r="N10">
        <v>0.5</v>
      </c>
      <c r="O10">
        <v>3931.21</v>
      </c>
      <c r="P10">
        <v>448.67</v>
      </c>
      <c r="Q10">
        <v>45.3</v>
      </c>
      <c r="R10">
        <v>20.23</v>
      </c>
      <c r="S10">
        <v>3.26</v>
      </c>
      <c r="V10">
        <v>3840.02</v>
      </c>
    </row>
    <row r="11" spans="1:23" x14ac:dyDescent="0.25">
      <c r="A11" t="s">
        <v>18</v>
      </c>
      <c r="B11">
        <v>1463</v>
      </c>
      <c r="C11">
        <v>8.1</v>
      </c>
      <c r="D11">
        <v>26</v>
      </c>
      <c r="E11">
        <v>34.5</v>
      </c>
      <c r="F11">
        <v>9495</v>
      </c>
      <c r="G11">
        <v>11111</v>
      </c>
      <c r="H11">
        <v>141.33000000000001</v>
      </c>
      <c r="I11">
        <v>122.73</v>
      </c>
      <c r="J11">
        <v>81.75</v>
      </c>
      <c r="K11">
        <v>20.78</v>
      </c>
      <c r="L11">
        <v>0.26</v>
      </c>
      <c r="M11">
        <v>0.2</v>
      </c>
      <c r="N11">
        <v>0.5</v>
      </c>
      <c r="O11">
        <v>12992</v>
      </c>
      <c r="P11">
        <v>430.68</v>
      </c>
      <c r="Q11">
        <v>49.59</v>
      </c>
      <c r="R11">
        <v>43.24</v>
      </c>
      <c r="S11">
        <v>6.96</v>
      </c>
      <c r="V11">
        <v>10998.28</v>
      </c>
    </row>
    <row r="12" spans="1:23" x14ac:dyDescent="0.25">
      <c r="A12" t="s">
        <v>18</v>
      </c>
      <c r="B12">
        <v>1951</v>
      </c>
      <c r="C12">
        <v>6.21</v>
      </c>
      <c r="D12">
        <v>26.1</v>
      </c>
      <c r="E12">
        <v>75</v>
      </c>
      <c r="F12">
        <v>20740</v>
      </c>
      <c r="G12">
        <v>20482</v>
      </c>
      <c r="H12">
        <v>67.260000000000005</v>
      </c>
      <c r="I12">
        <v>154.49</v>
      </c>
      <c r="J12">
        <v>5800</v>
      </c>
      <c r="K12">
        <v>356.63</v>
      </c>
      <c r="L12">
        <v>1.56</v>
      </c>
      <c r="M12">
        <v>15.31</v>
      </c>
      <c r="N12">
        <v>0.5</v>
      </c>
      <c r="O12">
        <v>24823.07</v>
      </c>
      <c r="P12">
        <v>77.290000000000006</v>
      </c>
      <c r="Q12">
        <v>0</v>
      </c>
      <c r="R12">
        <v>4.49</v>
      </c>
      <c r="S12">
        <v>1</v>
      </c>
      <c r="V12">
        <v>26800.46</v>
      </c>
    </row>
    <row r="13" spans="1:23" x14ac:dyDescent="0.25">
      <c r="A13" t="s">
        <v>18</v>
      </c>
      <c r="B13">
        <v>1951</v>
      </c>
      <c r="C13">
        <v>6</v>
      </c>
      <c r="D13">
        <v>25.7</v>
      </c>
      <c r="E13">
        <v>78.400000000000006</v>
      </c>
      <c r="F13">
        <v>37370</v>
      </c>
      <c r="G13">
        <v>20595</v>
      </c>
      <c r="H13">
        <v>42.6</v>
      </c>
      <c r="I13">
        <v>151.05000000000001</v>
      </c>
      <c r="J13">
        <v>4422.5</v>
      </c>
      <c r="K13">
        <v>272.88</v>
      </c>
      <c r="L13">
        <v>4.45</v>
      </c>
      <c r="M13">
        <v>11.61</v>
      </c>
      <c r="N13">
        <v>0.5</v>
      </c>
      <c r="O13">
        <v>27233.67</v>
      </c>
      <c r="P13">
        <v>44.75</v>
      </c>
      <c r="Q13">
        <v>0</v>
      </c>
      <c r="R13">
        <v>11.91</v>
      </c>
      <c r="S13">
        <v>1.92</v>
      </c>
      <c r="V13">
        <v>25455.84</v>
      </c>
    </row>
    <row r="14" spans="1:23" x14ac:dyDescent="0.25">
      <c r="A14" t="s">
        <v>19</v>
      </c>
      <c r="B14">
        <v>3869.44</v>
      </c>
      <c r="C14">
        <v>6.3</v>
      </c>
      <c r="G14">
        <v>18622</v>
      </c>
      <c r="H14">
        <v>4124</v>
      </c>
      <c r="I14">
        <v>1340</v>
      </c>
      <c r="J14">
        <v>14425</v>
      </c>
      <c r="L14">
        <v>2</v>
      </c>
      <c r="O14">
        <v>57092</v>
      </c>
      <c r="P14">
        <v>2745</v>
      </c>
      <c r="Q14">
        <v>0</v>
      </c>
      <c r="R14">
        <v>325</v>
      </c>
      <c r="W14">
        <v>98</v>
      </c>
    </row>
    <row r="15" spans="1:23" x14ac:dyDescent="0.25">
      <c r="A15" t="s">
        <v>19</v>
      </c>
      <c r="B15">
        <v>3869.44</v>
      </c>
      <c r="C15">
        <v>5.74</v>
      </c>
      <c r="G15">
        <v>17532</v>
      </c>
      <c r="H15">
        <v>3918</v>
      </c>
      <c r="I15">
        <v>1267</v>
      </c>
      <c r="J15">
        <v>14300</v>
      </c>
      <c r="L15">
        <v>44</v>
      </c>
      <c r="O15">
        <v>56153</v>
      </c>
      <c r="P15">
        <v>335</v>
      </c>
      <c r="Q15">
        <v>0</v>
      </c>
      <c r="R15">
        <v>185</v>
      </c>
      <c r="W15">
        <v>88.7</v>
      </c>
    </row>
    <row r="16" spans="1:23" x14ac:dyDescent="0.25">
      <c r="A16" t="s">
        <v>19</v>
      </c>
      <c r="B16">
        <v>3869.44</v>
      </c>
      <c r="C16">
        <v>5.66</v>
      </c>
      <c r="G16">
        <v>18350</v>
      </c>
      <c r="H16">
        <v>3979</v>
      </c>
      <c r="I16">
        <v>1257</v>
      </c>
      <c r="J16">
        <v>12790</v>
      </c>
      <c r="L16">
        <v>60</v>
      </c>
      <c r="O16">
        <v>56230</v>
      </c>
      <c r="P16">
        <v>488</v>
      </c>
      <c r="Q16">
        <v>0</v>
      </c>
      <c r="R16">
        <v>190</v>
      </c>
      <c r="W16">
        <v>38.200000000000003</v>
      </c>
    </row>
    <row r="17" spans="1:23" x14ac:dyDescent="0.25">
      <c r="A17" t="s">
        <v>19</v>
      </c>
      <c r="B17">
        <v>3869.44</v>
      </c>
      <c r="C17">
        <v>6.64</v>
      </c>
      <c r="G17">
        <v>25286</v>
      </c>
      <c r="H17">
        <v>3052</v>
      </c>
      <c r="I17">
        <v>873</v>
      </c>
      <c r="J17">
        <v>7815</v>
      </c>
      <c r="L17">
        <v>2</v>
      </c>
      <c r="O17">
        <v>54515</v>
      </c>
      <c r="P17">
        <v>122</v>
      </c>
      <c r="Q17">
        <v>0</v>
      </c>
      <c r="R17">
        <v>302</v>
      </c>
      <c r="W17">
        <v>99</v>
      </c>
    </row>
    <row r="18" spans="1:23" x14ac:dyDescent="0.25">
      <c r="A18" t="s">
        <v>19</v>
      </c>
      <c r="B18">
        <v>3869.44</v>
      </c>
      <c r="C18">
        <v>6.23</v>
      </c>
      <c r="G18">
        <v>25850</v>
      </c>
      <c r="H18">
        <v>2536</v>
      </c>
      <c r="I18">
        <v>847</v>
      </c>
      <c r="J18">
        <v>7324</v>
      </c>
      <c r="L18">
        <v>85</v>
      </c>
      <c r="O18">
        <v>56745</v>
      </c>
      <c r="P18">
        <v>275</v>
      </c>
      <c r="Q18">
        <v>0</v>
      </c>
      <c r="R18">
        <v>205</v>
      </c>
      <c r="W18">
        <v>20.2</v>
      </c>
    </row>
    <row r="19" spans="1:23" x14ac:dyDescent="0.25">
      <c r="A19" t="s">
        <v>19</v>
      </c>
      <c r="B19">
        <v>3869.44</v>
      </c>
      <c r="C19">
        <v>6.2</v>
      </c>
      <c r="G19">
        <v>25400</v>
      </c>
      <c r="H19">
        <v>5219</v>
      </c>
      <c r="I19">
        <v>956</v>
      </c>
      <c r="J19">
        <v>7457</v>
      </c>
      <c r="L19">
        <v>100</v>
      </c>
      <c r="O19">
        <v>56854</v>
      </c>
      <c r="P19">
        <v>518</v>
      </c>
      <c r="Q19">
        <v>0</v>
      </c>
      <c r="R19">
        <v>196</v>
      </c>
      <c r="W19">
        <v>61.8</v>
      </c>
    </row>
    <row r="20" spans="1:23" x14ac:dyDescent="0.25">
      <c r="A20" t="s">
        <v>18</v>
      </c>
      <c r="B20">
        <v>2281.12</v>
      </c>
      <c r="F20">
        <v>51.887</v>
      </c>
      <c r="G20">
        <v>21248.1</v>
      </c>
      <c r="I20">
        <v>340.2</v>
      </c>
      <c r="J20">
        <v>5.2</v>
      </c>
      <c r="L20">
        <v>7.5</v>
      </c>
      <c r="O20">
        <v>43</v>
      </c>
      <c r="P20">
        <v>41.5</v>
      </c>
      <c r="Q20">
        <v>0</v>
      </c>
      <c r="R20">
        <v>8.1</v>
      </c>
    </row>
    <row r="21" spans="1:23" x14ac:dyDescent="0.25">
      <c r="C21">
        <v>7</v>
      </c>
      <c r="G21">
        <v>6254</v>
      </c>
      <c r="I21">
        <v>140</v>
      </c>
      <c r="J21">
        <v>666</v>
      </c>
      <c r="O21">
        <v>10320</v>
      </c>
      <c r="P21">
        <v>212</v>
      </c>
      <c r="R21">
        <v>1066</v>
      </c>
    </row>
    <row r="22" spans="1:23" x14ac:dyDescent="0.25">
      <c r="A22" t="s">
        <v>18</v>
      </c>
      <c r="B22">
        <v>2804.16</v>
      </c>
      <c r="C22">
        <v>5.5</v>
      </c>
      <c r="G22">
        <v>14818</v>
      </c>
      <c r="I22">
        <v>218</v>
      </c>
      <c r="J22">
        <v>3698</v>
      </c>
      <c r="O22">
        <v>30000</v>
      </c>
      <c r="P22">
        <v>42</v>
      </c>
      <c r="Q22">
        <v>0</v>
      </c>
      <c r="R22">
        <v>6</v>
      </c>
    </row>
    <row r="23" spans="1:23" x14ac:dyDescent="0.25">
      <c r="A23" t="s">
        <v>20</v>
      </c>
      <c r="B23">
        <v>2503.3200000000002</v>
      </c>
      <c r="C23">
        <v>7.37</v>
      </c>
      <c r="E23">
        <v>91.3</v>
      </c>
      <c r="F23">
        <v>69024</v>
      </c>
      <c r="G23">
        <v>25010</v>
      </c>
      <c r="H23">
        <v>1990</v>
      </c>
      <c r="I23">
        <v>59</v>
      </c>
      <c r="J23">
        <v>85</v>
      </c>
      <c r="L23">
        <v>5.3</v>
      </c>
      <c r="O23">
        <v>38320</v>
      </c>
      <c r="P23">
        <v>3220</v>
      </c>
      <c r="Q23">
        <v>0</v>
      </c>
      <c r="R23">
        <v>150</v>
      </c>
      <c r="S23">
        <v>0</v>
      </c>
    </row>
    <row r="24" spans="1:23" x14ac:dyDescent="0.25">
      <c r="A24" t="s">
        <v>20</v>
      </c>
      <c r="B24">
        <v>2912.67</v>
      </c>
      <c r="C24">
        <v>8.33</v>
      </c>
      <c r="E24">
        <v>90.6</v>
      </c>
      <c r="F24">
        <v>68265</v>
      </c>
      <c r="G24">
        <v>22680</v>
      </c>
      <c r="H24">
        <v>2830</v>
      </c>
      <c r="I24">
        <v>65</v>
      </c>
      <c r="J24">
        <v>125</v>
      </c>
      <c r="L24">
        <v>0.3</v>
      </c>
      <c r="O24">
        <v>38700</v>
      </c>
      <c r="P24">
        <v>3350</v>
      </c>
      <c r="Q24">
        <v>145</v>
      </c>
      <c r="R24">
        <v>220</v>
      </c>
      <c r="S24">
        <v>0</v>
      </c>
    </row>
    <row r="25" spans="1:23" x14ac:dyDescent="0.25">
      <c r="A25" t="s">
        <v>21</v>
      </c>
      <c r="B25">
        <v>1310.95</v>
      </c>
      <c r="C25">
        <v>7.43</v>
      </c>
      <c r="E25">
        <v>50.9</v>
      </c>
      <c r="F25">
        <v>32100</v>
      </c>
      <c r="G25">
        <v>9950</v>
      </c>
      <c r="H25">
        <v>72.400000000000006</v>
      </c>
      <c r="I25">
        <v>418</v>
      </c>
      <c r="J25">
        <v>2130</v>
      </c>
      <c r="L25">
        <v>5.8</v>
      </c>
      <c r="M25">
        <v>1.0900000000000001</v>
      </c>
      <c r="O25">
        <v>35700</v>
      </c>
      <c r="P25">
        <v>505.08</v>
      </c>
      <c r="Q25">
        <v>1.5</v>
      </c>
      <c r="R25">
        <v>2060</v>
      </c>
      <c r="S25">
        <v>6.7</v>
      </c>
      <c r="W25">
        <v>9.41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87B6-3A55-4614-B951-5FD6E4131165}">
  <dimension ref="A3:G21"/>
  <sheetViews>
    <sheetView topLeftCell="A10" zoomScale="170" zoomScaleNormal="170" workbookViewId="0">
      <selection activeCell="B19" sqref="B19"/>
    </sheetView>
  </sheetViews>
  <sheetFormatPr baseColWidth="10" defaultColWidth="9.140625" defaultRowHeight="15" x14ac:dyDescent="0.25"/>
  <cols>
    <col min="1" max="1" width="23.140625" customWidth="1"/>
    <col min="2" max="2" width="16.5703125" customWidth="1"/>
    <col min="3" max="3" width="12.28515625" bestFit="1" customWidth="1"/>
    <col min="4" max="4" width="20" customWidth="1"/>
    <col min="5" max="6" width="8.5703125" customWidth="1"/>
    <col min="7" max="7" width="12.28515625" customWidth="1"/>
    <col min="8" max="8" width="17.28515625" bestFit="1" customWidth="1"/>
    <col min="9" max="9" width="15.85546875" bestFit="1" customWidth="1"/>
    <col min="10" max="10" width="17.28515625" bestFit="1" customWidth="1"/>
    <col min="11" max="11" width="15.85546875" bestFit="1" customWidth="1"/>
    <col min="12" max="12" width="22.140625" bestFit="1" customWidth="1"/>
    <col min="13" max="13" width="20.7109375" bestFit="1" customWidth="1"/>
    <col min="14" max="14" width="6" bestFit="1" customWidth="1"/>
    <col min="15" max="16" width="7" bestFit="1" customWidth="1"/>
    <col min="17" max="17" width="8" bestFit="1" customWidth="1"/>
    <col min="18" max="18" width="13.7109375" bestFit="1" customWidth="1"/>
    <col min="19" max="19" width="21.5703125" bestFit="1" customWidth="1"/>
    <col min="20" max="24" width="6" bestFit="1" customWidth="1"/>
    <col min="25" max="25" width="24.7109375" bestFit="1" customWidth="1"/>
    <col min="26" max="26" width="7.28515625" bestFit="1" customWidth="1"/>
    <col min="27" max="27" width="10.28515625" bestFit="1" customWidth="1"/>
    <col min="28" max="28" width="9.140625" bestFit="1" customWidth="1"/>
    <col min="29" max="29" width="12.140625" bestFit="1" customWidth="1"/>
    <col min="30" max="30" width="11.28515625" bestFit="1" customWidth="1"/>
    <col min="31" max="31" width="7.28515625" bestFit="1" customWidth="1"/>
    <col min="32" max="32" width="17.28515625" bestFit="1" customWidth="1"/>
    <col min="33" max="33" width="8.7109375" bestFit="1" customWidth="1"/>
    <col min="34" max="34" width="19.7109375" bestFit="1" customWidth="1"/>
    <col min="35" max="35" width="5.42578125" bestFit="1" customWidth="1"/>
    <col min="36" max="36" width="7.28515625" bestFit="1" customWidth="1"/>
    <col min="37" max="37" width="17.7109375" bestFit="1" customWidth="1"/>
    <col min="38" max="38" width="8.7109375" bestFit="1" customWidth="1"/>
    <col min="39" max="39" width="19.7109375" bestFit="1" customWidth="1"/>
    <col min="40" max="40" width="5.42578125" bestFit="1" customWidth="1"/>
    <col min="41" max="41" width="7.28515625" bestFit="1" customWidth="1"/>
    <col min="42" max="42" width="18.5703125" bestFit="1" customWidth="1"/>
    <col min="43" max="43" width="8.7109375" bestFit="1" customWidth="1"/>
    <col min="44" max="44" width="19.7109375" bestFit="1" customWidth="1"/>
    <col min="45" max="45" width="5.42578125" bestFit="1" customWidth="1"/>
    <col min="46" max="46" width="7.28515625" bestFit="1" customWidth="1"/>
    <col min="47" max="47" width="17.42578125" bestFit="1" customWidth="1"/>
    <col min="48" max="48" width="8.7109375" bestFit="1" customWidth="1"/>
    <col min="49" max="49" width="19.7109375" bestFit="1" customWidth="1"/>
    <col min="50" max="50" width="5.42578125" bestFit="1" customWidth="1"/>
    <col min="51" max="51" width="7.28515625" bestFit="1" customWidth="1"/>
    <col min="52" max="52" width="16.42578125" bestFit="1" customWidth="1"/>
    <col min="53" max="53" width="10" bestFit="1" customWidth="1"/>
    <col min="54" max="54" width="19.7109375" bestFit="1" customWidth="1"/>
    <col min="55" max="55" width="6" bestFit="1" customWidth="1"/>
    <col min="56" max="56" width="7.28515625" bestFit="1" customWidth="1"/>
    <col min="57" max="57" width="19.42578125" bestFit="1" customWidth="1"/>
    <col min="58" max="58" width="8.7109375" bestFit="1" customWidth="1"/>
    <col min="59" max="59" width="19.7109375" bestFit="1" customWidth="1"/>
    <col min="60" max="60" width="7" bestFit="1" customWidth="1"/>
    <col min="61" max="61" width="7.28515625" bestFit="1" customWidth="1"/>
    <col min="62" max="62" width="18.85546875" bestFit="1" customWidth="1"/>
    <col min="63" max="63" width="8.7109375" bestFit="1" customWidth="1"/>
    <col min="64" max="64" width="19.7109375" bestFit="1" customWidth="1"/>
    <col min="65" max="65" width="5.42578125" bestFit="1" customWidth="1"/>
    <col min="66" max="66" width="7.28515625" bestFit="1" customWidth="1"/>
    <col min="67" max="67" width="23.28515625" bestFit="1" customWidth="1"/>
    <col min="68" max="68" width="8.7109375" bestFit="1" customWidth="1"/>
    <col min="69" max="69" width="19.7109375" bestFit="1" customWidth="1"/>
    <col min="70" max="70" width="5.42578125" bestFit="1" customWidth="1"/>
    <col min="71" max="71" width="7.28515625" bestFit="1" customWidth="1"/>
    <col min="72" max="72" width="26.5703125" bestFit="1" customWidth="1"/>
    <col min="73" max="73" width="8.7109375" bestFit="1" customWidth="1"/>
    <col min="74" max="74" width="19.7109375" bestFit="1" customWidth="1"/>
    <col min="75" max="75" width="5.42578125" bestFit="1" customWidth="1"/>
    <col min="76" max="76" width="7.28515625" bestFit="1" customWidth="1"/>
    <col min="77" max="77" width="26" bestFit="1" customWidth="1"/>
    <col min="78" max="78" width="8.7109375" bestFit="1" customWidth="1"/>
    <col min="79" max="79" width="19.7109375" bestFit="1" customWidth="1"/>
    <col min="80" max="80" width="5.42578125" bestFit="1" customWidth="1"/>
    <col min="81" max="81" width="7.28515625" bestFit="1" customWidth="1"/>
    <col min="82" max="82" width="42.7109375" bestFit="1" customWidth="1"/>
    <col min="83" max="83" width="38.140625" bestFit="1" customWidth="1"/>
    <col min="84" max="84" width="22.140625" bestFit="1" customWidth="1"/>
    <col min="85" max="85" width="20.7109375" bestFit="1" customWidth="1"/>
    <col min="86" max="86" width="23.28515625" bestFit="1" customWidth="1"/>
    <col min="87" max="87" width="22.5703125" bestFit="1" customWidth="1"/>
    <col min="88" max="88" width="22.140625" bestFit="1" customWidth="1"/>
    <col min="89" max="89" width="22.5703125" bestFit="1" customWidth="1"/>
    <col min="90" max="90" width="23.42578125" bestFit="1" customWidth="1"/>
    <col min="91" max="91" width="22.28515625" bestFit="1" customWidth="1"/>
    <col min="92" max="92" width="21.42578125" bestFit="1" customWidth="1"/>
    <col min="93" max="93" width="24.28515625" bestFit="1" customWidth="1"/>
    <col min="94" max="94" width="23.7109375" bestFit="1" customWidth="1"/>
    <col min="95" max="95" width="28.28515625" bestFit="1" customWidth="1"/>
    <col min="96" max="96" width="31.42578125" bestFit="1" customWidth="1"/>
    <col min="97" max="97" width="30.85546875" bestFit="1" customWidth="1"/>
  </cols>
  <sheetData>
    <row r="3" spans="1:7" ht="51" customHeight="1" x14ac:dyDescent="0.25">
      <c r="A3" s="4"/>
      <c r="B3" s="5" t="s">
        <v>47</v>
      </c>
      <c r="C3" s="4"/>
      <c r="D3" s="4"/>
      <c r="E3" s="4"/>
      <c r="F3" s="4"/>
      <c r="G3" s="4"/>
    </row>
    <row r="4" spans="1:7" x14ac:dyDescent="0.25">
      <c r="A4" s="5" t="s">
        <v>48</v>
      </c>
      <c r="B4" s="4" t="s">
        <v>20</v>
      </c>
      <c r="C4" s="4" t="s">
        <v>18</v>
      </c>
      <c r="D4" s="4" t="s">
        <v>19</v>
      </c>
      <c r="E4" s="4" t="s">
        <v>21</v>
      </c>
      <c r="F4" s="4" t="s">
        <v>43</v>
      </c>
      <c r="G4" s="4" t="s">
        <v>44</v>
      </c>
    </row>
    <row r="5" spans="1:7" x14ac:dyDescent="0.25">
      <c r="A5" s="6" t="s">
        <v>45</v>
      </c>
      <c r="B5" s="4">
        <v>7.85</v>
      </c>
      <c r="C5" s="4">
        <v>6.606923076923076</v>
      </c>
      <c r="D5" s="4">
        <v>6.1283333333333339</v>
      </c>
      <c r="E5" s="4">
        <v>7.43</v>
      </c>
      <c r="F5" s="4">
        <v>7</v>
      </c>
      <c r="G5" s="4">
        <v>6.6430434782608678</v>
      </c>
    </row>
    <row r="6" spans="1:7" x14ac:dyDescent="0.25">
      <c r="A6" s="6" t="s">
        <v>49</v>
      </c>
      <c r="B6" s="4">
        <v>23845</v>
      </c>
      <c r="C6" s="4">
        <v>16398.864285714288</v>
      </c>
      <c r="D6" s="4">
        <v>21840</v>
      </c>
      <c r="E6" s="4">
        <v>9950</v>
      </c>
      <c r="F6" s="4">
        <v>6254</v>
      </c>
      <c r="G6" s="4">
        <v>17688.254166666666</v>
      </c>
    </row>
    <row r="7" spans="1:7" x14ac:dyDescent="0.25">
      <c r="A7" s="6" t="s">
        <v>50</v>
      </c>
      <c r="B7" s="4">
        <v>62</v>
      </c>
      <c r="C7" s="4">
        <v>201.97285714285712</v>
      </c>
      <c r="D7" s="4">
        <v>1090</v>
      </c>
      <c r="E7" s="4">
        <v>418</v>
      </c>
      <c r="F7" s="4">
        <v>140</v>
      </c>
      <c r="G7" s="4">
        <v>418.73416666666662</v>
      </c>
    </row>
    <row r="8" spans="1:7" x14ac:dyDescent="0.25">
      <c r="A8" s="6" t="s">
        <v>51</v>
      </c>
      <c r="B8" s="4">
        <v>105</v>
      </c>
      <c r="C8" s="4">
        <v>3401.7750000000001</v>
      </c>
      <c r="D8" s="4">
        <v>10685.166666666666</v>
      </c>
      <c r="E8" s="4">
        <v>2130</v>
      </c>
      <c r="F8" s="4">
        <v>666</v>
      </c>
      <c r="G8" s="4">
        <v>4780.9104166666666</v>
      </c>
    </row>
    <row r="9" spans="1:7" x14ac:dyDescent="0.25">
      <c r="A9" s="6" t="s">
        <v>52</v>
      </c>
      <c r="B9" s="4">
        <v>2.8</v>
      </c>
      <c r="C9" s="4">
        <v>2.7730769230769234</v>
      </c>
      <c r="D9" s="4">
        <v>48.833333333333336</v>
      </c>
      <c r="E9" s="4">
        <v>5.8</v>
      </c>
      <c r="F9" s="4"/>
      <c r="G9" s="4">
        <v>15.475</v>
      </c>
    </row>
    <row r="10" spans="1:7" x14ac:dyDescent="0.25">
      <c r="A10" s="6" t="s">
        <v>53</v>
      </c>
      <c r="B10" s="4"/>
      <c r="C10" s="4">
        <v>0.5</v>
      </c>
      <c r="D10" s="4"/>
      <c r="E10" s="4"/>
      <c r="F10" s="4"/>
      <c r="G10" s="4">
        <v>0.5</v>
      </c>
    </row>
    <row r="11" spans="1:7" x14ac:dyDescent="0.25">
      <c r="A11" s="6" t="s">
        <v>54</v>
      </c>
      <c r="B11" s="4">
        <v>38510</v>
      </c>
      <c r="C11" s="4">
        <v>20122.86285714286</v>
      </c>
      <c r="D11" s="4">
        <v>56264.833333333336</v>
      </c>
      <c r="E11" s="4">
        <v>35700</v>
      </c>
      <c r="F11" s="4">
        <v>10320</v>
      </c>
      <c r="G11" s="4">
        <v>30931.211666666666</v>
      </c>
    </row>
    <row r="12" spans="1:7" x14ac:dyDescent="0.25">
      <c r="A12" s="6" t="s">
        <v>55</v>
      </c>
      <c r="B12" s="4">
        <v>3285</v>
      </c>
      <c r="C12" s="4">
        <v>120.78500000000001</v>
      </c>
      <c r="D12" s="4">
        <v>747.16666666666663</v>
      </c>
      <c r="E12" s="4">
        <v>505.08</v>
      </c>
      <c r="F12" s="4">
        <v>212</v>
      </c>
      <c r="G12" s="4">
        <v>560.87791666666669</v>
      </c>
    </row>
    <row r="13" spans="1:7" x14ac:dyDescent="0.25">
      <c r="A13" s="6" t="s">
        <v>58</v>
      </c>
      <c r="B13" s="4"/>
      <c r="C13" s="4">
        <v>6.9333333333333336</v>
      </c>
      <c r="D13" s="4"/>
      <c r="E13" s="4">
        <v>1.0900000000000001</v>
      </c>
      <c r="F13" s="4"/>
      <c r="G13" s="4">
        <v>6.4838461538461543</v>
      </c>
    </row>
    <row r="14" spans="1:7" x14ac:dyDescent="0.25">
      <c r="A14" s="6" t="s">
        <v>56</v>
      </c>
      <c r="B14" s="4">
        <v>72.5</v>
      </c>
      <c r="C14" s="4">
        <v>6.777857142857143</v>
      </c>
      <c r="D14" s="4">
        <v>0</v>
      </c>
      <c r="E14" s="4">
        <v>1.5</v>
      </c>
      <c r="F14" s="4"/>
      <c r="G14" s="4">
        <v>10.495217391304349</v>
      </c>
    </row>
    <row r="15" spans="1:7" x14ac:dyDescent="0.25">
      <c r="A15" s="6" t="s">
        <v>57</v>
      </c>
      <c r="B15" s="4">
        <v>185</v>
      </c>
      <c r="C15" s="4">
        <v>19.49071428571429</v>
      </c>
      <c r="D15" s="4">
        <v>233.83333333333334</v>
      </c>
      <c r="E15" s="4">
        <v>2060</v>
      </c>
      <c r="F15" s="4">
        <v>1066</v>
      </c>
      <c r="G15" s="4">
        <v>215.49458333333334</v>
      </c>
    </row>
    <row r="16" spans="1:7" x14ac:dyDescent="0.25">
      <c r="A16" s="6" t="s">
        <v>59</v>
      </c>
      <c r="B16" s="4">
        <v>2410</v>
      </c>
      <c r="C16" s="4">
        <v>71.361666666666665</v>
      </c>
      <c r="D16" s="4">
        <v>3804.6666666666665</v>
      </c>
      <c r="E16" s="4">
        <v>72.400000000000006</v>
      </c>
      <c r="F16" s="4"/>
      <c r="G16" s="4">
        <v>1360.7971428571429</v>
      </c>
    </row>
    <row r="17" spans="1:7" x14ac:dyDescent="0.25">
      <c r="A17" s="6" t="s">
        <v>60</v>
      </c>
      <c r="B17" s="4"/>
      <c r="C17" s="4">
        <v>253.89166666666674</v>
      </c>
      <c r="D17" s="4"/>
      <c r="E17" s="4"/>
      <c r="F17" s="4"/>
      <c r="G17" s="4">
        <v>253.89166666666674</v>
      </c>
    </row>
    <row r="18" spans="1:7" x14ac:dyDescent="0.25">
      <c r="A18" s="6" t="s">
        <v>61</v>
      </c>
      <c r="B18" s="4"/>
      <c r="C18" s="4">
        <v>26.050000000000008</v>
      </c>
      <c r="D18" s="4"/>
      <c r="E18" s="4"/>
      <c r="F18" s="4"/>
      <c r="G18" s="4">
        <v>26.050000000000008</v>
      </c>
    </row>
    <row r="19" spans="1:7" x14ac:dyDescent="0.25">
      <c r="A19" s="6" t="s">
        <v>46</v>
      </c>
      <c r="B19" s="4">
        <v>90.949999999999989</v>
      </c>
      <c r="C19" s="4">
        <v>62.54249999999999</v>
      </c>
      <c r="D19" s="4"/>
      <c r="E19" s="4">
        <v>50.9</v>
      </c>
      <c r="F19" s="4"/>
      <c r="G19" s="4">
        <v>65.554000000000002</v>
      </c>
    </row>
    <row r="20" spans="1:7" x14ac:dyDescent="0.25">
      <c r="A20" s="6" t="s">
        <v>62</v>
      </c>
      <c r="B20" s="4">
        <v>68644.5</v>
      </c>
      <c r="C20" s="4">
        <v>26561.298999999999</v>
      </c>
      <c r="D20" s="4"/>
      <c r="E20" s="4">
        <v>32100</v>
      </c>
      <c r="F20" s="4"/>
      <c r="G20" s="4">
        <v>32167.867937499999</v>
      </c>
    </row>
    <row r="21" spans="1:7" x14ac:dyDescent="0.25">
      <c r="A21" s="6" t="s">
        <v>63</v>
      </c>
      <c r="B21" s="4"/>
      <c r="C21" s="4">
        <v>1721.8333333333333</v>
      </c>
      <c r="D21" s="4"/>
      <c r="E21" s="4"/>
      <c r="F21" s="4"/>
      <c r="G21" s="4">
        <v>1721.8333333333333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zoomScale="140" zoomScaleNormal="140" workbookViewId="0">
      <selection activeCell="B1" sqref="B1:P23"/>
    </sheetView>
  </sheetViews>
  <sheetFormatPr baseColWidth="10" defaultColWidth="9.140625" defaultRowHeight="15" x14ac:dyDescent="0.25"/>
  <cols>
    <col min="1" max="1" width="23.28515625" bestFit="1" customWidth="1"/>
  </cols>
  <sheetData>
    <row r="1" spans="1:1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x14ac:dyDescent="0.25">
      <c r="A2" t="s">
        <v>38</v>
      </c>
      <c r="B2">
        <v>44</v>
      </c>
      <c r="C2">
        <v>0</v>
      </c>
      <c r="E2">
        <v>10</v>
      </c>
      <c r="F2">
        <v>0</v>
      </c>
      <c r="G2">
        <v>3</v>
      </c>
      <c r="H2">
        <v>33</v>
      </c>
    </row>
    <row r="3" spans="1:16" x14ac:dyDescent="0.25">
      <c r="A3" t="s">
        <v>38</v>
      </c>
      <c r="B3">
        <v>35</v>
      </c>
      <c r="C3">
        <v>0</v>
      </c>
      <c r="E3">
        <v>19</v>
      </c>
      <c r="F3">
        <v>0</v>
      </c>
      <c r="G3">
        <v>1</v>
      </c>
      <c r="H3">
        <v>36</v>
      </c>
    </row>
    <row r="4" spans="1:16" x14ac:dyDescent="0.25">
      <c r="A4" t="s">
        <v>38</v>
      </c>
      <c r="B4">
        <v>38</v>
      </c>
      <c r="C4">
        <v>0</v>
      </c>
      <c r="E4">
        <v>17</v>
      </c>
      <c r="F4">
        <v>0</v>
      </c>
      <c r="G4">
        <v>2</v>
      </c>
      <c r="H4">
        <v>29</v>
      </c>
    </row>
    <row r="5" spans="1:16" x14ac:dyDescent="0.25">
      <c r="A5" t="s">
        <v>38</v>
      </c>
      <c r="B5">
        <v>31</v>
      </c>
      <c r="C5">
        <v>0</v>
      </c>
      <c r="E5">
        <v>33</v>
      </c>
      <c r="F5">
        <v>0</v>
      </c>
      <c r="G5">
        <v>2</v>
      </c>
      <c r="H5">
        <v>23</v>
      </c>
    </row>
    <row r="6" spans="1:16" x14ac:dyDescent="0.25">
      <c r="A6" t="s">
        <v>38</v>
      </c>
      <c r="B6">
        <v>37</v>
      </c>
      <c r="C6">
        <v>0</v>
      </c>
      <c r="E6">
        <v>28</v>
      </c>
      <c r="F6">
        <v>0</v>
      </c>
      <c r="G6">
        <v>2</v>
      </c>
      <c r="H6">
        <v>25</v>
      </c>
    </row>
    <row r="7" spans="1:16" x14ac:dyDescent="0.25">
      <c r="A7" t="s">
        <v>38</v>
      </c>
      <c r="B7">
        <v>27</v>
      </c>
      <c r="C7">
        <v>0</v>
      </c>
      <c r="E7">
        <v>50</v>
      </c>
      <c r="F7">
        <v>0</v>
      </c>
      <c r="G7">
        <v>2</v>
      </c>
      <c r="H7">
        <v>14</v>
      </c>
    </row>
    <row r="8" spans="1:16" x14ac:dyDescent="0.25">
      <c r="A8" t="s">
        <v>39</v>
      </c>
      <c r="B8">
        <v>89.4</v>
      </c>
      <c r="C8">
        <v>0.6</v>
      </c>
      <c r="D8">
        <v>0.6</v>
      </c>
      <c r="E8">
        <v>0.2</v>
      </c>
      <c r="F8">
        <v>0</v>
      </c>
      <c r="G8">
        <v>0</v>
      </c>
      <c r="H8">
        <v>8.8000000000000007</v>
      </c>
      <c r="I8">
        <v>2.4</v>
      </c>
      <c r="K8">
        <v>1.1000000000000001</v>
      </c>
      <c r="L8">
        <v>5.3</v>
      </c>
    </row>
    <row r="9" spans="1:16" x14ac:dyDescent="0.25">
      <c r="A9" t="s">
        <v>39</v>
      </c>
      <c r="B9">
        <v>89.9</v>
      </c>
      <c r="C9">
        <v>0.6</v>
      </c>
      <c r="D9">
        <v>1.1000000000000001</v>
      </c>
      <c r="E9">
        <v>0</v>
      </c>
      <c r="F9">
        <v>0</v>
      </c>
      <c r="G9">
        <v>0</v>
      </c>
      <c r="H9">
        <v>6.9</v>
      </c>
      <c r="I9">
        <v>2</v>
      </c>
      <c r="K9">
        <v>1.4</v>
      </c>
      <c r="L9">
        <v>3.5</v>
      </c>
    </row>
    <row r="10" spans="1:16" x14ac:dyDescent="0.25">
      <c r="A10" t="s">
        <v>39</v>
      </c>
      <c r="B10">
        <v>83.5</v>
      </c>
      <c r="C10">
        <v>0.8</v>
      </c>
      <c r="D10">
        <v>1.7</v>
      </c>
      <c r="E10">
        <v>0</v>
      </c>
      <c r="F10">
        <v>0</v>
      </c>
      <c r="G10">
        <v>0</v>
      </c>
      <c r="H10">
        <v>8.5</v>
      </c>
      <c r="I10">
        <v>1.5</v>
      </c>
      <c r="K10">
        <v>2.7</v>
      </c>
      <c r="L10">
        <v>4.3</v>
      </c>
    </row>
    <row r="11" spans="1:16" x14ac:dyDescent="0.25">
      <c r="A11" t="s">
        <v>39</v>
      </c>
      <c r="B11">
        <v>84.5</v>
      </c>
      <c r="C11">
        <v>0.6</v>
      </c>
      <c r="D11">
        <v>0.7</v>
      </c>
      <c r="E11">
        <v>0.5</v>
      </c>
      <c r="F11">
        <v>0</v>
      </c>
      <c r="G11">
        <v>0</v>
      </c>
      <c r="H11">
        <v>3.7</v>
      </c>
      <c r="I11">
        <v>1.1000000000000001</v>
      </c>
      <c r="K11">
        <v>0.4</v>
      </c>
      <c r="L11">
        <v>2.2000000000000002</v>
      </c>
    </row>
    <row r="12" spans="1:16" x14ac:dyDescent="0.25">
      <c r="A12" t="s">
        <v>20</v>
      </c>
      <c r="E12">
        <v>15</v>
      </c>
      <c r="F12">
        <v>0</v>
      </c>
      <c r="H12">
        <v>4</v>
      </c>
      <c r="K12">
        <v>0</v>
      </c>
      <c r="L12">
        <v>0</v>
      </c>
      <c r="N12">
        <v>4</v>
      </c>
      <c r="O12">
        <v>77</v>
      </c>
    </row>
    <row r="13" spans="1:16" x14ac:dyDescent="0.25">
      <c r="A13" t="s">
        <v>20</v>
      </c>
      <c r="E13">
        <v>22</v>
      </c>
      <c r="F13">
        <v>0</v>
      </c>
      <c r="H13">
        <v>7</v>
      </c>
      <c r="K13">
        <v>0</v>
      </c>
      <c r="L13">
        <v>5</v>
      </c>
      <c r="N13">
        <v>7</v>
      </c>
      <c r="O13">
        <v>64</v>
      </c>
    </row>
    <row r="14" spans="1:16" x14ac:dyDescent="0.25">
      <c r="A14" t="s">
        <v>20</v>
      </c>
      <c r="E14">
        <v>21</v>
      </c>
      <c r="F14">
        <v>0</v>
      </c>
      <c r="H14">
        <v>10</v>
      </c>
      <c r="K14">
        <v>0</v>
      </c>
      <c r="L14">
        <v>10</v>
      </c>
      <c r="N14">
        <v>8</v>
      </c>
      <c r="O14">
        <v>61</v>
      </c>
    </row>
    <row r="15" spans="1:16" x14ac:dyDescent="0.25">
      <c r="A15" t="s">
        <v>20</v>
      </c>
      <c r="E15">
        <v>24</v>
      </c>
      <c r="F15">
        <v>3</v>
      </c>
      <c r="H15">
        <v>7</v>
      </c>
      <c r="K15">
        <v>0</v>
      </c>
      <c r="L15">
        <v>7</v>
      </c>
      <c r="N15">
        <v>6</v>
      </c>
      <c r="O15">
        <v>60</v>
      </c>
    </row>
    <row r="16" spans="1:16" x14ac:dyDescent="0.25">
      <c r="A16" t="s">
        <v>20</v>
      </c>
      <c r="E16">
        <v>36</v>
      </c>
      <c r="F16">
        <v>6</v>
      </c>
      <c r="H16">
        <v>6</v>
      </c>
      <c r="K16">
        <v>0</v>
      </c>
      <c r="L16">
        <v>6</v>
      </c>
      <c r="N16">
        <v>4</v>
      </c>
      <c r="O16">
        <v>48</v>
      </c>
    </row>
    <row r="17" spans="1:15" x14ac:dyDescent="0.25">
      <c r="A17" t="s">
        <v>40</v>
      </c>
      <c r="B17">
        <v>43</v>
      </c>
      <c r="C17">
        <v>12.3</v>
      </c>
    </row>
    <row r="18" spans="1:15" x14ac:dyDescent="0.25">
      <c r="A18" t="s">
        <v>40</v>
      </c>
      <c r="B18">
        <v>44.5</v>
      </c>
      <c r="C18">
        <v>9.1</v>
      </c>
      <c r="E18">
        <v>22.6</v>
      </c>
      <c r="H18">
        <v>8.8000000000000007</v>
      </c>
    </row>
    <row r="19" spans="1:15" x14ac:dyDescent="0.25">
      <c r="A19" t="s">
        <v>18</v>
      </c>
      <c r="B19">
        <v>32</v>
      </c>
      <c r="C19">
        <v>13</v>
      </c>
      <c r="E19">
        <v>20</v>
      </c>
      <c r="I19">
        <v>2</v>
      </c>
      <c r="J19">
        <v>1</v>
      </c>
      <c r="L19">
        <v>24</v>
      </c>
      <c r="M19">
        <v>4</v>
      </c>
      <c r="O19">
        <v>5</v>
      </c>
    </row>
    <row r="20" spans="1:15" x14ac:dyDescent="0.25">
      <c r="A20" t="s">
        <v>41</v>
      </c>
      <c r="B20">
        <v>68</v>
      </c>
      <c r="C20">
        <v>10</v>
      </c>
      <c r="H20">
        <v>17</v>
      </c>
    </row>
    <row r="21" spans="1:15" x14ac:dyDescent="0.25">
      <c r="A21" t="s">
        <v>41</v>
      </c>
      <c r="B21">
        <v>40</v>
      </c>
      <c r="C21">
        <v>10</v>
      </c>
      <c r="H21">
        <v>45</v>
      </c>
    </row>
    <row r="22" spans="1:15" x14ac:dyDescent="0.25">
      <c r="A22" t="s">
        <v>41</v>
      </c>
      <c r="B22">
        <v>53</v>
      </c>
      <c r="C22">
        <v>10</v>
      </c>
      <c r="H22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6197-1E2C-4B0B-A008-8B5A4698AC50}">
  <dimension ref="A3:K20"/>
  <sheetViews>
    <sheetView workbookViewId="0">
      <selection activeCell="L4" sqref="L4"/>
    </sheetView>
  </sheetViews>
  <sheetFormatPr baseColWidth="10" defaultColWidth="9.140625" defaultRowHeight="15" x14ac:dyDescent="0.25"/>
  <cols>
    <col min="1" max="1" width="25" bestFit="1" customWidth="1"/>
    <col min="2" max="2" width="23.28515625" bestFit="1" customWidth="1"/>
    <col min="3" max="4" width="12" bestFit="1" customWidth="1"/>
    <col min="5" max="5" width="7.42578125" bestFit="1" customWidth="1"/>
    <col min="6" max="6" width="8.7109375" bestFit="1" customWidth="1"/>
    <col min="7" max="8" width="12" bestFit="1" customWidth="1"/>
    <col min="9" max="24" width="23.28515625" bestFit="1" customWidth="1"/>
    <col min="25" max="25" width="22.28515625" bestFit="1" customWidth="1"/>
    <col min="26" max="26" width="26.28515625" bestFit="1" customWidth="1"/>
    <col min="27" max="27" width="26.140625" bestFit="1" customWidth="1"/>
    <col min="28" max="28" width="22.7109375" bestFit="1" customWidth="1"/>
  </cols>
  <sheetData>
    <row r="3" spans="1:11" x14ac:dyDescent="0.25">
      <c r="B3" s="1" t="s">
        <v>47</v>
      </c>
    </row>
    <row r="4" spans="1:11" x14ac:dyDescent="0.25">
      <c r="A4" s="1" t="s">
        <v>48</v>
      </c>
      <c r="B4" t="s">
        <v>39</v>
      </c>
      <c r="C4" t="s">
        <v>41</v>
      </c>
      <c r="D4" t="s">
        <v>40</v>
      </c>
      <c r="E4" t="s">
        <v>20</v>
      </c>
      <c r="F4" t="s">
        <v>18</v>
      </c>
      <c r="G4" t="s">
        <v>38</v>
      </c>
      <c r="H4" t="s">
        <v>44</v>
      </c>
      <c r="J4" t="s">
        <v>154</v>
      </c>
      <c r="K4" t="s">
        <v>155</v>
      </c>
    </row>
    <row r="5" spans="1:11" x14ac:dyDescent="0.25">
      <c r="A5" s="2" t="s">
        <v>126</v>
      </c>
      <c r="B5" s="3">
        <v>86.825000000000003</v>
      </c>
      <c r="C5" s="3">
        <v>53.666666666666664</v>
      </c>
      <c r="D5" s="3">
        <v>43.75</v>
      </c>
      <c r="E5" s="3"/>
      <c r="F5" s="3">
        <v>32</v>
      </c>
      <c r="G5" s="3">
        <v>35.333333333333336</v>
      </c>
      <c r="H5" s="3">
        <v>52.487499999999997</v>
      </c>
      <c r="J5">
        <f>GETPIVOTDATA("Average of Cuarzo (%)",$A$3,"Foramacion","Areniscas Basales Lisama")-GETPIVOTDATA("StdDev of Cuarzo (%)",$A$3,"Foramacion","Areniscas Basales Lisama")</f>
        <v>83.531192679183121</v>
      </c>
      <c r="K5">
        <f>GETPIVOTDATA("Average of Cuarzo (%)",$A$3,"Foramacion","Areniscas Basales Lisama")+GETPIVOTDATA("StdDev of Cuarzo (%)",$A$3,"Foramacion","Areniscas Basales Lisama")</f>
        <v>90.118807320816884</v>
      </c>
    </row>
    <row r="6" spans="1:11" x14ac:dyDescent="0.25">
      <c r="A6" s="2" t="s">
        <v>156</v>
      </c>
      <c r="B6" s="3">
        <v>3.2938073208168781</v>
      </c>
      <c r="C6" s="3">
        <v>14.011899704655791</v>
      </c>
      <c r="D6" s="3">
        <v>1.0606601717798212</v>
      </c>
      <c r="E6" s="3"/>
      <c r="F6" s="3" t="e">
        <v>#DIV/0!</v>
      </c>
      <c r="G6" s="3">
        <v>5.8878405775518932</v>
      </c>
      <c r="H6" s="3">
        <v>22.595158035886076</v>
      </c>
    </row>
    <row r="7" spans="1:11" x14ac:dyDescent="0.25">
      <c r="A7" s="2" t="s">
        <v>127</v>
      </c>
      <c r="B7" s="3">
        <v>0.65</v>
      </c>
      <c r="C7" s="3">
        <v>10</v>
      </c>
      <c r="D7" s="3">
        <v>10.7</v>
      </c>
      <c r="E7" s="3"/>
      <c r="F7" s="3">
        <v>13</v>
      </c>
      <c r="G7" s="3">
        <v>0</v>
      </c>
      <c r="H7" s="3">
        <v>4.1875</v>
      </c>
    </row>
    <row r="8" spans="1:11" x14ac:dyDescent="0.25">
      <c r="A8" s="2" t="s">
        <v>128</v>
      </c>
      <c r="B8" s="3">
        <v>1.0250000000000001</v>
      </c>
      <c r="C8" s="3"/>
      <c r="D8" s="3"/>
      <c r="E8" s="3"/>
      <c r="F8" s="3"/>
      <c r="G8" s="3"/>
      <c r="H8" s="3">
        <v>1.0250000000000001</v>
      </c>
    </row>
    <row r="9" spans="1:11" x14ac:dyDescent="0.25">
      <c r="A9" s="2" t="s">
        <v>129</v>
      </c>
      <c r="B9" s="3">
        <v>0.17499999999999999</v>
      </c>
      <c r="C9" s="3"/>
      <c r="D9" s="3">
        <v>22.6</v>
      </c>
      <c r="E9" s="3">
        <v>23.6</v>
      </c>
      <c r="F9" s="3">
        <v>20</v>
      </c>
      <c r="G9" s="3">
        <v>26.166666666666668</v>
      </c>
      <c r="H9" s="3">
        <v>18.723529411764705</v>
      </c>
    </row>
    <row r="10" spans="1:11" x14ac:dyDescent="0.25">
      <c r="A10" s="2" t="s">
        <v>130</v>
      </c>
      <c r="B10" s="3">
        <v>0</v>
      </c>
      <c r="C10" s="3"/>
      <c r="D10" s="3"/>
      <c r="E10" s="3">
        <v>1.8</v>
      </c>
      <c r="F10" s="3"/>
      <c r="G10" s="3">
        <v>0</v>
      </c>
      <c r="H10" s="3">
        <v>0.6</v>
      </c>
    </row>
    <row r="11" spans="1:11" x14ac:dyDescent="0.25">
      <c r="A11" s="2" t="s">
        <v>131</v>
      </c>
      <c r="B11" s="3">
        <v>0</v>
      </c>
      <c r="C11" s="3"/>
      <c r="D11" s="3"/>
      <c r="E11" s="3"/>
      <c r="F11" s="3"/>
      <c r="G11" s="3">
        <v>2</v>
      </c>
      <c r="H11" s="3">
        <v>1.2</v>
      </c>
    </row>
    <row r="12" spans="1:11" x14ac:dyDescent="0.25">
      <c r="A12" s="2" t="s">
        <v>132</v>
      </c>
      <c r="B12" s="3">
        <v>6.9750000000000005</v>
      </c>
      <c r="C12" s="3">
        <v>31.333333333333332</v>
      </c>
      <c r="D12" s="3">
        <v>8.8000000000000007</v>
      </c>
      <c r="E12" s="3">
        <v>6.8</v>
      </c>
      <c r="F12" s="3"/>
      <c r="G12" s="3">
        <v>26.666666666666668</v>
      </c>
      <c r="H12" s="3">
        <v>17.089473684210528</v>
      </c>
    </row>
    <row r="13" spans="1:11" x14ac:dyDescent="0.25">
      <c r="A13" s="2" t="s">
        <v>133</v>
      </c>
      <c r="B13" s="3">
        <v>1.75</v>
      </c>
      <c r="C13" s="3"/>
      <c r="D13" s="3"/>
      <c r="E13" s="3"/>
      <c r="F13" s="3">
        <v>2</v>
      </c>
      <c r="G13" s="3"/>
      <c r="H13" s="3">
        <v>1.8</v>
      </c>
    </row>
    <row r="14" spans="1:11" x14ac:dyDescent="0.25">
      <c r="A14" s="2" t="s">
        <v>134</v>
      </c>
      <c r="B14" s="3"/>
      <c r="C14" s="3"/>
      <c r="D14" s="3"/>
      <c r="E14" s="3"/>
      <c r="F14" s="3">
        <v>1</v>
      </c>
      <c r="G14" s="3"/>
      <c r="H14" s="3">
        <v>1</v>
      </c>
    </row>
    <row r="15" spans="1:11" x14ac:dyDescent="0.25">
      <c r="A15" s="2" t="s">
        <v>135</v>
      </c>
      <c r="B15" s="3">
        <v>1.4000000000000001</v>
      </c>
      <c r="C15" s="3"/>
      <c r="D15" s="3"/>
      <c r="E15" s="3">
        <v>0</v>
      </c>
      <c r="F15" s="3"/>
      <c r="G15" s="3"/>
      <c r="H15" s="3">
        <v>0.62222222222222223</v>
      </c>
    </row>
    <row r="16" spans="1:11" x14ac:dyDescent="0.25">
      <c r="A16" s="2" t="s">
        <v>136</v>
      </c>
      <c r="B16" s="3">
        <v>3.8250000000000002</v>
      </c>
      <c r="C16" s="3"/>
      <c r="D16" s="3"/>
      <c r="E16" s="3">
        <v>5.6</v>
      </c>
      <c r="F16" s="3">
        <v>24</v>
      </c>
      <c r="G16" s="3"/>
      <c r="H16" s="3">
        <v>6.7299999999999995</v>
      </c>
    </row>
    <row r="17" spans="1:8" x14ac:dyDescent="0.25">
      <c r="A17" s="2" t="s">
        <v>137</v>
      </c>
      <c r="B17" s="3"/>
      <c r="C17" s="3"/>
      <c r="D17" s="3"/>
      <c r="E17" s="3"/>
      <c r="F17" s="3">
        <v>4</v>
      </c>
      <c r="G17" s="3"/>
      <c r="H17" s="3">
        <v>4</v>
      </c>
    </row>
    <row r="18" spans="1:8" x14ac:dyDescent="0.25">
      <c r="A18" s="2" t="s">
        <v>138</v>
      </c>
      <c r="B18" s="3"/>
      <c r="C18" s="3"/>
      <c r="D18" s="3"/>
      <c r="E18" s="3">
        <v>5.8</v>
      </c>
      <c r="F18" s="3"/>
      <c r="G18" s="3"/>
      <c r="H18" s="3">
        <v>5.8</v>
      </c>
    </row>
    <row r="19" spans="1:8" x14ac:dyDescent="0.25">
      <c r="A19" s="2" t="s">
        <v>139</v>
      </c>
      <c r="B19" s="3"/>
      <c r="C19" s="3"/>
      <c r="D19" s="3"/>
      <c r="E19" s="3">
        <v>62</v>
      </c>
      <c r="F19" s="3">
        <v>5</v>
      </c>
      <c r="G19" s="3"/>
      <c r="H19" s="3">
        <v>52.5</v>
      </c>
    </row>
    <row r="20" spans="1:8" x14ac:dyDescent="0.25">
      <c r="A20" s="2" t="s">
        <v>153</v>
      </c>
      <c r="B20" s="3">
        <v>4</v>
      </c>
      <c r="C20" s="3">
        <v>3</v>
      </c>
      <c r="D20" s="3">
        <v>2</v>
      </c>
      <c r="E20" s="3">
        <v>5</v>
      </c>
      <c r="F20" s="3">
        <v>1</v>
      </c>
      <c r="G20" s="3">
        <v>6</v>
      </c>
      <c r="H20" s="3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0FEE-026F-41F7-8478-7AE0DACCD604}">
  <dimension ref="A1:G440"/>
  <sheetViews>
    <sheetView topLeftCell="A46" zoomScale="150" zoomScaleNormal="150" workbookViewId="0">
      <selection activeCell="B2" sqref="B2:C11"/>
    </sheetView>
  </sheetViews>
  <sheetFormatPr baseColWidth="10" defaultColWidth="9.140625" defaultRowHeight="15" x14ac:dyDescent="0.25"/>
  <cols>
    <col min="1" max="1" width="18.7109375" bestFit="1" customWidth="1"/>
    <col min="4" max="4" width="27.5703125" bestFit="1" customWidth="1"/>
    <col min="5" max="5" width="24.5703125" bestFit="1" customWidth="1"/>
  </cols>
  <sheetData>
    <row r="1" spans="1:7" x14ac:dyDescent="0.25">
      <c r="A1" t="s">
        <v>64</v>
      </c>
      <c r="B1" t="s">
        <v>65</v>
      </c>
      <c r="C1" t="s">
        <v>66</v>
      </c>
      <c r="D1" t="s">
        <v>67</v>
      </c>
      <c r="E1" t="s">
        <v>0</v>
      </c>
      <c r="F1" t="s">
        <v>68</v>
      </c>
      <c r="G1" t="s">
        <v>69</v>
      </c>
    </row>
    <row r="2" spans="1:7" x14ac:dyDescent="0.25">
      <c r="A2" t="s">
        <v>70</v>
      </c>
      <c r="B2">
        <v>4937413.6169999996</v>
      </c>
      <c r="C2">
        <v>2437627.574</v>
      </c>
      <c r="D2" t="s">
        <v>71</v>
      </c>
      <c r="E2" t="s">
        <v>39</v>
      </c>
      <c r="F2">
        <v>2301.2399999999998</v>
      </c>
      <c r="G2">
        <v>26.06</v>
      </c>
    </row>
    <row r="3" spans="1:7" x14ac:dyDescent="0.25">
      <c r="A3" t="s">
        <v>70</v>
      </c>
      <c r="B3">
        <v>4937413.6169999996</v>
      </c>
      <c r="C3">
        <v>2437627.574</v>
      </c>
      <c r="D3" t="s">
        <v>71</v>
      </c>
      <c r="E3" t="s">
        <v>39</v>
      </c>
      <c r="F3">
        <v>2337.8200000000002</v>
      </c>
      <c r="G3">
        <v>25.2</v>
      </c>
    </row>
    <row r="4" spans="1:7" x14ac:dyDescent="0.25">
      <c r="A4" t="s">
        <v>70</v>
      </c>
      <c r="B4">
        <v>4937413.6169999996</v>
      </c>
      <c r="C4">
        <v>2437627.574</v>
      </c>
      <c r="D4" t="s">
        <v>71</v>
      </c>
      <c r="E4" t="s">
        <v>39</v>
      </c>
      <c r="F4">
        <v>2373.7800000000002</v>
      </c>
      <c r="G4">
        <v>23.3</v>
      </c>
    </row>
    <row r="5" spans="1:7" x14ac:dyDescent="0.25">
      <c r="A5" t="s">
        <v>70</v>
      </c>
      <c r="B5">
        <v>4937413.6169999996</v>
      </c>
      <c r="C5">
        <v>2437627.574</v>
      </c>
      <c r="D5" t="s">
        <v>71</v>
      </c>
      <c r="E5" t="s">
        <v>39</v>
      </c>
      <c r="F5">
        <v>2409.75</v>
      </c>
      <c r="G5">
        <v>20.079999999999998</v>
      </c>
    </row>
    <row r="6" spans="1:7" x14ac:dyDescent="0.25">
      <c r="A6" t="s">
        <v>70</v>
      </c>
      <c r="B6">
        <v>4937413.6169999996</v>
      </c>
      <c r="C6">
        <v>2437627.574</v>
      </c>
      <c r="D6" t="s">
        <v>71</v>
      </c>
      <c r="E6" t="s">
        <v>39</v>
      </c>
      <c r="F6">
        <v>2427.88</v>
      </c>
      <c r="G6">
        <v>27.1</v>
      </c>
    </row>
    <row r="7" spans="1:7" x14ac:dyDescent="0.25">
      <c r="A7" t="s">
        <v>70</v>
      </c>
      <c r="B7">
        <v>4937413.6169999996</v>
      </c>
      <c r="C7">
        <v>2437627.574</v>
      </c>
      <c r="D7" t="s">
        <v>71</v>
      </c>
      <c r="E7" t="s">
        <v>39</v>
      </c>
      <c r="F7">
        <v>2464.92</v>
      </c>
      <c r="G7">
        <v>18</v>
      </c>
    </row>
    <row r="8" spans="1:7" x14ac:dyDescent="0.25">
      <c r="A8" t="s">
        <v>70</v>
      </c>
      <c r="B8">
        <v>4937413.6169999996</v>
      </c>
      <c r="C8">
        <v>2437627.574</v>
      </c>
      <c r="D8" t="s">
        <v>71</v>
      </c>
      <c r="E8" t="s">
        <v>39</v>
      </c>
      <c r="F8">
        <v>2498.4499999999998</v>
      </c>
      <c r="G8">
        <v>24.01</v>
      </c>
    </row>
    <row r="9" spans="1:7" x14ac:dyDescent="0.25">
      <c r="A9" t="s">
        <v>70</v>
      </c>
      <c r="B9">
        <v>4937413.6169999996</v>
      </c>
      <c r="C9">
        <v>2437627.574</v>
      </c>
      <c r="D9" t="s">
        <v>71</v>
      </c>
      <c r="E9" t="s">
        <v>39</v>
      </c>
      <c r="F9">
        <v>2508.1999999999998</v>
      </c>
      <c r="G9">
        <v>26.2</v>
      </c>
    </row>
    <row r="10" spans="1:7" x14ac:dyDescent="0.25">
      <c r="A10" t="s">
        <v>70</v>
      </c>
      <c r="B10">
        <v>4937413.6169999996</v>
      </c>
      <c r="C10">
        <v>2437627.574</v>
      </c>
      <c r="D10" t="s">
        <v>71</v>
      </c>
      <c r="E10" t="s">
        <v>39</v>
      </c>
      <c r="F10">
        <v>2540.5100000000002</v>
      </c>
      <c r="G10">
        <v>24.8</v>
      </c>
    </row>
    <row r="11" spans="1:7" x14ac:dyDescent="0.25">
      <c r="A11" t="s">
        <v>72</v>
      </c>
      <c r="B11">
        <v>4937419.1050000004</v>
      </c>
      <c r="C11">
        <v>2437620.67</v>
      </c>
      <c r="D11" t="s">
        <v>71</v>
      </c>
      <c r="E11" t="s">
        <v>73</v>
      </c>
      <c r="F11">
        <v>2855.3663999999999</v>
      </c>
      <c r="G11">
        <v>17.75</v>
      </c>
    </row>
    <row r="12" spans="1:7" x14ac:dyDescent="0.25">
      <c r="A12" t="s">
        <v>74</v>
      </c>
      <c r="B12">
        <v>4921350.5449999999</v>
      </c>
      <c r="C12">
        <v>2472052.9559999998</v>
      </c>
      <c r="D12" t="s">
        <v>71</v>
      </c>
      <c r="E12" t="s">
        <v>75</v>
      </c>
      <c r="F12">
        <v>1170.432</v>
      </c>
      <c r="G12">
        <v>7.5</v>
      </c>
    </row>
    <row r="13" spans="1:7" x14ac:dyDescent="0.25">
      <c r="A13" t="s">
        <v>74</v>
      </c>
      <c r="B13">
        <v>4921350.5449999999</v>
      </c>
      <c r="C13">
        <v>2472052.9559999998</v>
      </c>
      <c r="D13" t="s">
        <v>71</v>
      </c>
      <c r="E13" t="s">
        <v>75</v>
      </c>
      <c r="F13">
        <v>1231.3920000000001</v>
      </c>
      <c r="G13">
        <v>8.25</v>
      </c>
    </row>
    <row r="14" spans="1:7" x14ac:dyDescent="0.25">
      <c r="A14" t="s">
        <v>76</v>
      </c>
      <c r="B14">
        <v>4927795.1859999998</v>
      </c>
      <c r="C14">
        <v>2471696.4019999998</v>
      </c>
      <c r="D14" t="s">
        <v>71</v>
      </c>
      <c r="E14" t="s">
        <v>77</v>
      </c>
      <c r="F14">
        <v>2225.04</v>
      </c>
      <c r="G14">
        <v>5</v>
      </c>
    </row>
    <row r="15" spans="1:7" x14ac:dyDescent="0.25">
      <c r="A15" t="s">
        <v>76</v>
      </c>
      <c r="B15">
        <v>4927795.1859999998</v>
      </c>
      <c r="C15">
        <v>2471696.4019999998</v>
      </c>
      <c r="D15" t="s">
        <v>71</v>
      </c>
      <c r="E15" t="s">
        <v>77</v>
      </c>
      <c r="F15">
        <v>2243.328</v>
      </c>
      <c r="G15">
        <v>3</v>
      </c>
    </row>
    <row r="16" spans="1:7" x14ac:dyDescent="0.25">
      <c r="A16" t="s">
        <v>76</v>
      </c>
      <c r="B16">
        <v>4927795.1859999998</v>
      </c>
      <c r="C16">
        <v>2471696.4019999998</v>
      </c>
      <c r="D16" t="s">
        <v>71</v>
      </c>
      <c r="E16" t="s">
        <v>77</v>
      </c>
      <c r="F16">
        <v>2257.0439999999999</v>
      </c>
      <c r="G16">
        <v>5</v>
      </c>
    </row>
    <row r="17" spans="1:7" x14ac:dyDescent="0.25">
      <c r="A17" t="s">
        <v>76</v>
      </c>
      <c r="B17">
        <v>4927795.1859999998</v>
      </c>
      <c r="C17">
        <v>2471696.4019999998</v>
      </c>
      <c r="D17" t="s">
        <v>71</v>
      </c>
      <c r="E17" t="s">
        <v>77</v>
      </c>
      <c r="F17">
        <v>2273.808</v>
      </c>
      <c r="G17">
        <v>6.5</v>
      </c>
    </row>
    <row r="18" spans="1:7" x14ac:dyDescent="0.25">
      <c r="A18" t="s">
        <v>76</v>
      </c>
      <c r="B18">
        <v>4927795.1859999998</v>
      </c>
      <c r="C18">
        <v>2471696.4019999998</v>
      </c>
      <c r="D18" t="s">
        <v>71</v>
      </c>
      <c r="E18" t="s">
        <v>77</v>
      </c>
      <c r="F18">
        <v>2298.192</v>
      </c>
      <c r="G18">
        <v>4.5</v>
      </c>
    </row>
    <row r="19" spans="1:7" x14ac:dyDescent="0.25">
      <c r="A19" t="s">
        <v>76</v>
      </c>
      <c r="B19">
        <v>4927795.1859999998</v>
      </c>
      <c r="C19">
        <v>2471696.4019999998</v>
      </c>
      <c r="D19" t="s">
        <v>71</v>
      </c>
      <c r="E19" t="s">
        <v>77</v>
      </c>
      <c r="F19">
        <v>2310.384</v>
      </c>
      <c r="G19">
        <v>4</v>
      </c>
    </row>
    <row r="20" spans="1:7" x14ac:dyDescent="0.25">
      <c r="A20" t="s">
        <v>76</v>
      </c>
      <c r="B20">
        <v>4927795.1859999998</v>
      </c>
      <c r="C20">
        <v>2471696.4019999998</v>
      </c>
      <c r="D20" t="s">
        <v>71</v>
      </c>
      <c r="E20" t="s">
        <v>77</v>
      </c>
      <c r="F20">
        <v>2340.864</v>
      </c>
      <c r="G20">
        <v>5</v>
      </c>
    </row>
    <row r="21" spans="1:7" x14ac:dyDescent="0.25">
      <c r="A21" t="s">
        <v>76</v>
      </c>
      <c r="B21">
        <v>4927795.1859999998</v>
      </c>
      <c r="C21">
        <v>2471696.4019999998</v>
      </c>
      <c r="D21" t="s">
        <v>71</v>
      </c>
      <c r="E21" t="s">
        <v>78</v>
      </c>
      <c r="F21">
        <v>2377.44</v>
      </c>
      <c r="G21">
        <v>7</v>
      </c>
    </row>
    <row r="22" spans="1:7" x14ac:dyDescent="0.25">
      <c r="A22" t="s">
        <v>79</v>
      </c>
      <c r="B22">
        <v>4936454.5</v>
      </c>
      <c r="C22">
        <v>2406782.04</v>
      </c>
      <c r="D22" t="s">
        <v>71</v>
      </c>
      <c r="E22" t="s">
        <v>38</v>
      </c>
      <c r="F22">
        <v>3749.7258000000002</v>
      </c>
      <c r="G22">
        <v>3.65</v>
      </c>
    </row>
    <row r="23" spans="1:7" x14ac:dyDescent="0.25">
      <c r="A23" t="s">
        <v>80</v>
      </c>
      <c r="B23">
        <v>4933523.2719999999</v>
      </c>
      <c r="C23">
        <v>2443978.534</v>
      </c>
      <c r="D23" t="s">
        <v>71</v>
      </c>
      <c r="E23" t="s">
        <v>81</v>
      </c>
      <c r="F23">
        <v>2250.0336000000002</v>
      </c>
      <c r="G23">
        <v>16.2</v>
      </c>
    </row>
    <row r="24" spans="1:7" x14ac:dyDescent="0.25">
      <c r="A24" t="s">
        <v>80</v>
      </c>
      <c r="B24">
        <v>4933523.2719999999</v>
      </c>
      <c r="C24">
        <v>2443978.534</v>
      </c>
      <c r="D24" t="s">
        <v>71</v>
      </c>
      <c r="E24" t="s">
        <v>81</v>
      </c>
      <c r="F24">
        <v>2250.3384000000001</v>
      </c>
      <c r="G24">
        <v>26.3</v>
      </c>
    </row>
    <row r="25" spans="1:7" x14ac:dyDescent="0.25">
      <c r="A25" t="s">
        <v>80</v>
      </c>
      <c r="B25">
        <v>4933523.2719999999</v>
      </c>
      <c r="C25">
        <v>2443978.534</v>
      </c>
      <c r="D25" t="s">
        <v>71</v>
      </c>
      <c r="E25" t="s">
        <v>81</v>
      </c>
      <c r="F25">
        <v>2250.6432</v>
      </c>
      <c r="G25">
        <v>25.9</v>
      </c>
    </row>
    <row r="26" spans="1:7" x14ac:dyDescent="0.25">
      <c r="A26" t="s">
        <v>80</v>
      </c>
      <c r="B26">
        <v>4933523.2719999999</v>
      </c>
      <c r="C26">
        <v>2443978.534</v>
      </c>
      <c r="D26" t="s">
        <v>71</v>
      </c>
      <c r="E26" t="s">
        <v>81</v>
      </c>
      <c r="F26">
        <v>2250.9479999999999</v>
      </c>
      <c r="G26">
        <v>26.3</v>
      </c>
    </row>
    <row r="27" spans="1:7" x14ac:dyDescent="0.25">
      <c r="A27" t="s">
        <v>82</v>
      </c>
      <c r="B27">
        <v>4896638.9069999997</v>
      </c>
      <c r="C27">
        <v>2379680.4240000001</v>
      </c>
      <c r="D27" t="s">
        <v>71</v>
      </c>
      <c r="E27" t="s">
        <v>83</v>
      </c>
      <c r="F27">
        <v>662.94</v>
      </c>
      <c r="G27">
        <v>17.3</v>
      </c>
    </row>
    <row r="28" spans="1:7" x14ac:dyDescent="0.25">
      <c r="A28" t="s">
        <v>82</v>
      </c>
      <c r="B28">
        <v>4896638.9069999997</v>
      </c>
      <c r="C28">
        <v>2379680.4240000001</v>
      </c>
      <c r="D28" t="s">
        <v>71</v>
      </c>
      <c r="E28" t="s">
        <v>84</v>
      </c>
      <c r="F28">
        <v>716.28</v>
      </c>
      <c r="G28">
        <v>17.3</v>
      </c>
    </row>
    <row r="29" spans="1:7" x14ac:dyDescent="0.25">
      <c r="A29" t="s">
        <v>85</v>
      </c>
      <c r="B29">
        <v>4905805.2450000001</v>
      </c>
      <c r="C29">
        <v>2375599.8119999999</v>
      </c>
      <c r="D29" t="s">
        <v>71</v>
      </c>
      <c r="E29" t="s">
        <v>20</v>
      </c>
      <c r="F29">
        <v>3278.7640799999999</v>
      </c>
      <c r="G29">
        <v>24.4</v>
      </c>
    </row>
    <row r="30" spans="1:7" x14ac:dyDescent="0.25">
      <c r="A30" t="s">
        <v>85</v>
      </c>
      <c r="B30">
        <v>4905805.2450000001</v>
      </c>
      <c r="C30">
        <v>2375599.8119999999</v>
      </c>
      <c r="D30" t="s">
        <v>71</v>
      </c>
      <c r="E30" t="s">
        <v>20</v>
      </c>
      <c r="F30">
        <v>3279.3431999999998</v>
      </c>
      <c r="G30">
        <v>23.8</v>
      </c>
    </row>
    <row r="31" spans="1:7" x14ac:dyDescent="0.25">
      <c r="A31" t="s">
        <v>85</v>
      </c>
      <c r="B31">
        <v>4905805.2450000001</v>
      </c>
      <c r="C31">
        <v>2375599.8119999999</v>
      </c>
      <c r="D31" t="s">
        <v>71</v>
      </c>
      <c r="E31" t="s">
        <v>20</v>
      </c>
      <c r="F31">
        <v>3280.1966400000001</v>
      </c>
      <c r="G31">
        <v>21.4</v>
      </c>
    </row>
    <row r="32" spans="1:7" x14ac:dyDescent="0.25">
      <c r="A32" t="s">
        <v>85</v>
      </c>
      <c r="B32">
        <v>4905805.2450000001</v>
      </c>
      <c r="C32">
        <v>2375599.8119999999</v>
      </c>
      <c r="D32" t="s">
        <v>71</v>
      </c>
      <c r="E32" t="s">
        <v>20</v>
      </c>
      <c r="F32">
        <v>3455.4566399999999</v>
      </c>
      <c r="G32">
        <v>20</v>
      </c>
    </row>
    <row r="33" spans="1:7" x14ac:dyDescent="0.25">
      <c r="A33" t="s">
        <v>85</v>
      </c>
      <c r="B33">
        <v>4905805.2450000001</v>
      </c>
      <c r="C33">
        <v>2375599.8119999999</v>
      </c>
      <c r="D33" t="s">
        <v>71</v>
      </c>
      <c r="E33" t="s">
        <v>20</v>
      </c>
      <c r="F33">
        <v>3457.6511999999998</v>
      </c>
      <c r="G33">
        <v>20.7</v>
      </c>
    </row>
    <row r="34" spans="1:7" x14ac:dyDescent="0.25">
      <c r="A34" t="s">
        <v>85</v>
      </c>
      <c r="B34">
        <v>4905805.2450000001</v>
      </c>
      <c r="C34">
        <v>2375599.8119999999</v>
      </c>
      <c r="D34" t="s">
        <v>71</v>
      </c>
      <c r="E34" t="s">
        <v>20</v>
      </c>
      <c r="F34">
        <v>3460.1810399999999</v>
      </c>
      <c r="G34">
        <v>21.1</v>
      </c>
    </row>
    <row r="35" spans="1:7" x14ac:dyDescent="0.25">
      <c r="A35" t="s">
        <v>85</v>
      </c>
      <c r="B35">
        <v>4905805.2450000001</v>
      </c>
      <c r="C35">
        <v>2375599.8119999999</v>
      </c>
      <c r="D35" t="s">
        <v>71</v>
      </c>
      <c r="E35" t="s">
        <v>20</v>
      </c>
      <c r="F35">
        <v>3461.79648</v>
      </c>
      <c r="G35">
        <v>20.7</v>
      </c>
    </row>
    <row r="36" spans="1:7" x14ac:dyDescent="0.25">
      <c r="A36" t="s">
        <v>85</v>
      </c>
      <c r="B36">
        <v>4905805.2450000001</v>
      </c>
      <c r="C36">
        <v>2375599.8119999999</v>
      </c>
      <c r="D36" t="s">
        <v>71</v>
      </c>
      <c r="E36" t="s">
        <v>20</v>
      </c>
      <c r="F36">
        <v>3463.7167199999999</v>
      </c>
      <c r="G36">
        <v>19.600000000000001</v>
      </c>
    </row>
    <row r="37" spans="1:7" x14ac:dyDescent="0.25">
      <c r="A37" t="s">
        <v>85</v>
      </c>
      <c r="B37">
        <v>4905805.2450000001</v>
      </c>
      <c r="C37">
        <v>2375599.8119999999</v>
      </c>
      <c r="D37" t="s">
        <v>71</v>
      </c>
      <c r="E37" t="s">
        <v>20</v>
      </c>
      <c r="F37">
        <v>3538.48416</v>
      </c>
      <c r="G37">
        <v>23.1</v>
      </c>
    </row>
    <row r="38" spans="1:7" x14ac:dyDescent="0.25">
      <c r="A38" t="s">
        <v>85</v>
      </c>
      <c r="B38">
        <v>4905805.2450000001</v>
      </c>
      <c r="C38">
        <v>2375599.8119999999</v>
      </c>
      <c r="D38" t="s">
        <v>71</v>
      </c>
      <c r="E38" t="s">
        <v>20</v>
      </c>
      <c r="F38">
        <v>3777.4473600000001</v>
      </c>
      <c r="G38">
        <v>21.3</v>
      </c>
    </row>
    <row r="39" spans="1:7" x14ac:dyDescent="0.25">
      <c r="A39" t="s">
        <v>85</v>
      </c>
      <c r="B39">
        <v>4905805.2450000001</v>
      </c>
      <c r="C39">
        <v>2375599.8119999999</v>
      </c>
      <c r="D39" t="s">
        <v>71</v>
      </c>
      <c r="E39" t="s">
        <v>20</v>
      </c>
      <c r="F39">
        <v>3779.4285599999998</v>
      </c>
      <c r="G39">
        <v>22.8</v>
      </c>
    </row>
    <row r="40" spans="1:7" x14ac:dyDescent="0.25">
      <c r="A40" t="s">
        <v>86</v>
      </c>
      <c r="B40">
        <v>4919140.3880000003</v>
      </c>
      <c r="C40">
        <v>2409008.8339999998</v>
      </c>
      <c r="D40" t="s">
        <v>71</v>
      </c>
      <c r="E40" t="s">
        <v>87</v>
      </c>
      <c r="F40">
        <v>2325.9288000000001</v>
      </c>
      <c r="G40">
        <v>23.2</v>
      </c>
    </row>
    <row r="41" spans="1:7" x14ac:dyDescent="0.25">
      <c r="A41" t="s">
        <v>86</v>
      </c>
      <c r="B41">
        <v>4919140.3880000003</v>
      </c>
      <c r="C41">
        <v>2409008.8339999998</v>
      </c>
      <c r="D41" t="s">
        <v>71</v>
      </c>
      <c r="E41" t="s">
        <v>21</v>
      </c>
      <c r="F41">
        <v>2538.6792</v>
      </c>
      <c r="G41">
        <v>19.100000000000001</v>
      </c>
    </row>
    <row r="42" spans="1:7" x14ac:dyDescent="0.25">
      <c r="A42" t="s">
        <v>86</v>
      </c>
      <c r="B42">
        <v>4919140.3880000003</v>
      </c>
      <c r="C42">
        <v>2409008.8339999998</v>
      </c>
      <c r="D42" t="s">
        <v>71</v>
      </c>
      <c r="E42" t="s">
        <v>21</v>
      </c>
      <c r="F42">
        <v>2593.848</v>
      </c>
      <c r="G42">
        <v>25.3</v>
      </c>
    </row>
    <row r="43" spans="1:7" x14ac:dyDescent="0.25">
      <c r="A43" t="s">
        <v>86</v>
      </c>
      <c r="B43">
        <v>4919140.3880000003</v>
      </c>
      <c r="C43">
        <v>2409008.8339999998</v>
      </c>
      <c r="D43" t="s">
        <v>71</v>
      </c>
      <c r="E43" t="s">
        <v>21</v>
      </c>
      <c r="F43">
        <v>2605.4304000000002</v>
      </c>
      <c r="G43">
        <v>16.7</v>
      </c>
    </row>
    <row r="44" spans="1:7" x14ac:dyDescent="0.25">
      <c r="A44" t="s">
        <v>86</v>
      </c>
      <c r="B44">
        <v>4919140.3880000003</v>
      </c>
      <c r="C44">
        <v>2409008.8339999998</v>
      </c>
      <c r="D44" t="s">
        <v>71</v>
      </c>
      <c r="E44" t="s">
        <v>21</v>
      </c>
      <c r="F44">
        <v>2678.5823999999998</v>
      </c>
      <c r="G44">
        <v>19.2</v>
      </c>
    </row>
    <row r="45" spans="1:7" x14ac:dyDescent="0.25">
      <c r="A45" t="s">
        <v>88</v>
      </c>
      <c r="B45">
        <v>4919176.7560000001</v>
      </c>
      <c r="C45">
        <v>2409442.6690000002</v>
      </c>
      <c r="D45" t="s">
        <v>71</v>
      </c>
      <c r="E45" t="s">
        <v>73</v>
      </c>
      <c r="F45">
        <v>2709.0619999999999</v>
      </c>
      <c r="G45">
        <v>16</v>
      </c>
    </row>
    <row r="46" spans="1:7" x14ac:dyDescent="0.25">
      <c r="A46" t="s">
        <v>88</v>
      </c>
      <c r="B46">
        <v>4919176.7560000001</v>
      </c>
      <c r="C46">
        <v>2409442.6690000002</v>
      </c>
      <c r="D46" t="s">
        <v>71</v>
      </c>
      <c r="E46" t="s">
        <v>73</v>
      </c>
      <c r="F46">
        <v>2738.933</v>
      </c>
      <c r="G46">
        <v>12</v>
      </c>
    </row>
    <row r="47" spans="1:7" x14ac:dyDescent="0.25">
      <c r="A47" t="s">
        <v>88</v>
      </c>
      <c r="B47">
        <v>4919176.7560000001</v>
      </c>
      <c r="C47">
        <v>2409442.6690000002</v>
      </c>
      <c r="D47" t="s">
        <v>71</v>
      </c>
      <c r="E47" t="s">
        <v>73</v>
      </c>
      <c r="F47">
        <v>2782.2139999999999</v>
      </c>
      <c r="G47">
        <v>8</v>
      </c>
    </row>
    <row r="48" spans="1:7" x14ac:dyDescent="0.25">
      <c r="A48" t="s">
        <v>88</v>
      </c>
      <c r="B48">
        <v>4919176.7560000001</v>
      </c>
      <c r="C48">
        <v>2409442.6690000002</v>
      </c>
      <c r="D48" t="s">
        <v>71</v>
      </c>
      <c r="E48" t="s">
        <v>73</v>
      </c>
      <c r="F48">
        <v>2820.6190000000001</v>
      </c>
      <c r="G48">
        <v>6</v>
      </c>
    </row>
    <row r="49" spans="1:7" x14ac:dyDescent="0.25">
      <c r="A49" t="s">
        <v>88</v>
      </c>
      <c r="B49">
        <v>4919176.7560000001</v>
      </c>
      <c r="C49">
        <v>2409442.6690000002</v>
      </c>
      <c r="D49" t="s">
        <v>71</v>
      </c>
      <c r="E49" t="s">
        <v>89</v>
      </c>
      <c r="F49">
        <v>2843.4789999999998</v>
      </c>
      <c r="G49">
        <v>13</v>
      </c>
    </row>
    <row r="50" spans="1:7" x14ac:dyDescent="0.25">
      <c r="A50" t="s">
        <v>88</v>
      </c>
      <c r="B50">
        <v>4919176.7560000001</v>
      </c>
      <c r="C50">
        <v>2409442.6690000002</v>
      </c>
      <c r="D50" t="s">
        <v>71</v>
      </c>
      <c r="E50" t="s">
        <v>73</v>
      </c>
      <c r="F50">
        <v>9034</v>
      </c>
      <c r="G50">
        <v>11</v>
      </c>
    </row>
    <row r="51" spans="1:7" x14ac:dyDescent="0.25">
      <c r="A51" t="s">
        <v>90</v>
      </c>
      <c r="B51">
        <v>4925994.8849999998</v>
      </c>
      <c r="C51">
        <v>2479071.7009999999</v>
      </c>
      <c r="D51" t="s">
        <v>71</v>
      </c>
      <c r="E51" t="s">
        <v>91</v>
      </c>
      <c r="F51">
        <v>1218.29</v>
      </c>
      <c r="G51">
        <v>0.06</v>
      </c>
    </row>
    <row r="52" spans="1:7" x14ac:dyDescent="0.25">
      <c r="A52" t="s">
        <v>90</v>
      </c>
      <c r="B52">
        <v>4925994.8849999998</v>
      </c>
      <c r="C52">
        <v>2479071.7009999999</v>
      </c>
      <c r="D52" t="s">
        <v>71</v>
      </c>
      <c r="E52" t="s">
        <v>91</v>
      </c>
      <c r="F52">
        <v>1218.9000000000001</v>
      </c>
      <c r="G52">
        <v>7.0000000000000007E-2</v>
      </c>
    </row>
    <row r="53" spans="1:7" x14ac:dyDescent="0.25">
      <c r="A53" t="s">
        <v>90</v>
      </c>
      <c r="B53">
        <v>4925994.8849999998</v>
      </c>
      <c r="C53">
        <v>2479071.7009999999</v>
      </c>
      <c r="D53" t="s">
        <v>71</v>
      </c>
      <c r="E53" t="s">
        <v>91</v>
      </c>
      <c r="F53">
        <v>1227.1199999999999</v>
      </c>
      <c r="G53">
        <v>0.04</v>
      </c>
    </row>
    <row r="54" spans="1:7" x14ac:dyDescent="0.25">
      <c r="A54" t="s">
        <v>90</v>
      </c>
      <c r="B54">
        <v>4925994.8849999998</v>
      </c>
      <c r="C54">
        <v>2479071.7009999999</v>
      </c>
      <c r="D54" t="s">
        <v>71</v>
      </c>
      <c r="E54" t="s">
        <v>73</v>
      </c>
      <c r="F54">
        <v>1234.44</v>
      </c>
      <c r="G54">
        <v>0.02</v>
      </c>
    </row>
    <row r="55" spans="1:7" x14ac:dyDescent="0.25">
      <c r="A55" t="s">
        <v>90</v>
      </c>
      <c r="B55">
        <v>4925994.8849999998</v>
      </c>
      <c r="C55">
        <v>2479071.7009999999</v>
      </c>
      <c r="D55" t="s">
        <v>71</v>
      </c>
      <c r="E55" t="s">
        <v>73</v>
      </c>
      <c r="F55">
        <v>1237.49</v>
      </c>
      <c r="G55">
        <v>3.04</v>
      </c>
    </row>
    <row r="56" spans="1:7" x14ac:dyDescent="0.25">
      <c r="A56" t="s">
        <v>90</v>
      </c>
      <c r="B56">
        <v>4925994.8849999998</v>
      </c>
      <c r="C56">
        <v>2479071.7009999999</v>
      </c>
      <c r="D56" t="s">
        <v>71</v>
      </c>
      <c r="E56" t="s">
        <v>73</v>
      </c>
      <c r="F56">
        <v>1238.0999999999999</v>
      </c>
      <c r="G56">
        <v>3.21</v>
      </c>
    </row>
    <row r="57" spans="1:7" x14ac:dyDescent="0.25">
      <c r="A57" t="s">
        <v>90</v>
      </c>
      <c r="B57">
        <v>4925994.8849999998</v>
      </c>
      <c r="C57">
        <v>2479071.7009999999</v>
      </c>
      <c r="D57" t="s">
        <v>71</v>
      </c>
      <c r="E57" t="s">
        <v>73</v>
      </c>
      <c r="F57">
        <v>1246.02</v>
      </c>
      <c r="G57">
        <v>0.38</v>
      </c>
    </row>
    <row r="58" spans="1:7" x14ac:dyDescent="0.25">
      <c r="A58" t="s">
        <v>90</v>
      </c>
      <c r="B58">
        <v>4925994.8849999998</v>
      </c>
      <c r="C58">
        <v>2479071.7009999999</v>
      </c>
      <c r="D58" t="s">
        <v>71</v>
      </c>
      <c r="E58" t="s">
        <v>73</v>
      </c>
      <c r="F58">
        <v>1246.94</v>
      </c>
      <c r="G58">
        <v>0.03</v>
      </c>
    </row>
    <row r="59" spans="1:7" x14ac:dyDescent="0.25">
      <c r="A59" t="s">
        <v>90</v>
      </c>
      <c r="B59">
        <v>4925994.8849999998</v>
      </c>
      <c r="C59">
        <v>2479071.7009999999</v>
      </c>
      <c r="D59" t="s">
        <v>71</v>
      </c>
      <c r="E59" t="s">
        <v>73</v>
      </c>
      <c r="F59">
        <v>1252.42</v>
      </c>
      <c r="G59">
        <v>0.4</v>
      </c>
    </row>
    <row r="60" spans="1:7" x14ac:dyDescent="0.25">
      <c r="A60" t="s">
        <v>90</v>
      </c>
      <c r="B60">
        <v>4925994.8849999998</v>
      </c>
      <c r="C60">
        <v>2479071.7009999999</v>
      </c>
      <c r="D60" t="s">
        <v>71</v>
      </c>
      <c r="E60" t="s">
        <v>73</v>
      </c>
      <c r="F60">
        <v>1256.3900000000001</v>
      </c>
      <c r="G60">
        <v>5.98</v>
      </c>
    </row>
    <row r="61" spans="1:7" x14ac:dyDescent="0.25">
      <c r="A61" t="s">
        <v>90</v>
      </c>
      <c r="B61">
        <v>4925994.8849999998</v>
      </c>
      <c r="C61">
        <v>2479071.7009999999</v>
      </c>
      <c r="D61" t="s">
        <v>71</v>
      </c>
      <c r="E61" t="s">
        <v>73</v>
      </c>
      <c r="F61">
        <v>1257.3</v>
      </c>
      <c r="G61">
        <v>1.62</v>
      </c>
    </row>
    <row r="62" spans="1:7" x14ac:dyDescent="0.25">
      <c r="A62" t="s">
        <v>90</v>
      </c>
      <c r="B62">
        <v>4925994.8849999998</v>
      </c>
      <c r="C62">
        <v>2479071.7009999999</v>
      </c>
      <c r="D62" t="s">
        <v>71</v>
      </c>
      <c r="E62" t="s">
        <v>73</v>
      </c>
      <c r="F62">
        <v>1259.74</v>
      </c>
      <c r="G62">
        <v>6.73</v>
      </c>
    </row>
    <row r="63" spans="1:7" x14ac:dyDescent="0.25">
      <c r="A63" t="s">
        <v>90</v>
      </c>
      <c r="B63">
        <v>4925994.8849999998</v>
      </c>
      <c r="C63">
        <v>2479071.7009999999</v>
      </c>
      <c r="D63" t="s">
        <v>71</v>
      </c>
      <c r="E63" t="s">
        <v>73</v>
      </c>
      <c r="F63">
        <v>1261.8699999999999</v>
      </c>
      <c r="G63">
        <v>0.1</v>
      </c>
    </row>
    <row r="64" spans="1:7" x14ac:dyDescent="0.25">
      <c r="A64" t="s">
        <v>90</v>
      </c>
      <c r="B64">
        <v>4925994.8849999998</v>
      </c>
      <c r="C64">
        <v>2479071.7009999999</v>
      </c>
      <c r="D64" t="s">
        <v>71</v>
      </c>
      <c r="E64" t="s">
        <v>73</v>
      </c>
      <c r="F64">
        <v>1262.48</v>
      </c>
      <c r="G64">
        <v>0.06</v>
      </c>
    </row>
    <row r="65" spans="1:7" x14ac:dyDescent="0.25">
      <c r="A65" t="s">
        <v>90</v>
      </c>
      <c r="B65">
        <v>4925994.8849999998</v>
      </c>
      <c r="C65">
        <v>2479071.7009999999</v>
      </c>
      <c r="D65" t="s">
        <v>71</v>
      </c>
      <c r="E65" t="s">
        <v>73</v>
      </c>
      <c r="F65">
        <v>1263.7</v>
      </c>
      <c r="G65">
        <v>0.06</v>
      </c>
    </row>
    <row r="66" spans="1:7" x14ac:dyDescent="0.25">
      <c r="A66" t="s">
        <v>90</v>
      </c>
      <c r="B66">
        <v>4925994.8849999998</v>
      </c>
      <c r="C66">
        <v>2479071.7009999999</v>
      </c>
      <c r="D66" t="s">
        <v>71</v>
      </c>
      <c r="E66" t="s">
        <v>73</v>
      </c>
      <c r="F66">
        <v>1265.83</v>
      </c>
      <c r="G66">
        <v>0.02</v>
      </c>
    </row>
    <row r="67" spans="1:7" x14ac:dyDescent="0.25">
      <c r="A67" t="s">
        <v>90</v>
      </c>
      <c r="B67">
        <v>4925994.8849999998</v>
      </c>
      <c r="C67">
        <v>2479071.7009999999</v>
      </c>
      <c r="D67" t="s">
        <v>71</v>
      </c>
      <c r="E67" t="s">
        <v>73</v>
      </c>
      <c r="F67">
        <v>1267.05</v>
      </c>
      <c r="G67">
        <v>0.04</v>
      </c>
    </row>
    <row r="68" spans="1:7" x14ac:dyDescent="0.25">
      <c r="A68" t="s">
        <v>90</v>
      </c>
      <c r="B68">
        <v>4925994.8849999998</v>
      </c>
      <c r="C68">
        <v>2479071.7009999999</v>
      </c>
      <c r="D68" t="s">
        <v>71</v>
      </c>
      <c r="E68" t="s">
        <v>73</v>
      </c>
      <c r="F68">
        <v>1294.49</v>
      </c>
      <c r="G68">
        <v>0.01</v>
      </c>
    </row>
    <row r="69" spans="1:7" x14ac:dyDescent="0.25">
      <c r="A69" t="s">
        <v>90</v>
      </c>
      <c r="B69">
        <v>4925994.8849999998</v>
      </c>
      <c r="C69">
        <v>2479071.7009999999</v>
      </c>
      <c r="D69" t="s">
        <v>71</v>
      </c>
      <c r="E69" t="s">
        <v>73</v>
      </c>
      <c r="F69">
        <v>1297.53</v>
      </c>
      <c r="G69">
        <v>0.11</v>
      </c>
    </row>
    <row r="70" spans="1:7" x14ac:dyDescent="0.25">
      <c r="A70" t="s">
        <v>90</v>
      </c>
      <c r="B70">
        <v>4925994.8849999998</v>
      </c>
      <c r="C70">
        <v>2479071.7009999999</v>
      </c>
      <c r="D70" t="s">
        <v>71</v>
      </c>
      <c r="E70" t="s">
        <v>73</v>
      </c>
      <c r="F70">
        <v>1297.8399999999999</v>
      </c>
      <c r="G70">
        <v>0.08</v>
      </c>
    </row>
    <row r="71" spans="1:7" x14ac:dyDescent="0.25">
      <c r="A71" t="s">
        <v>90</v>
      </c>
      <c r="B71">
        <v>4925994.8849999998</v>
      </c>
      <c r="C71">
        <v>2479071.7009999999</v>
      </c>
      <c r="D71" t="s">
        <v>71</v>
      </c>
      <c r="E71" t="s">
        <v>73</v>
      </c>
      <c r="F71">
        <v>1315.21</v>
      </c>
      <c r="G71">
        <v>0.14000000000000001</v>
      </c>
    </row>
    <row r="72" spans="1:7" x14ac:dyDescent="0.25">
      <c r="A72" t="s">
        <v>90</v>
      </c>
      <c r="B72">
        <v>4925994.8849999998</v>
      </c>
      <c r="C72">
        <v>2479071.7009999999</v>
      </c>
      <c r="D72" t="s">
        <v>71</v>
      </c>
      <c r="E72" t="s">
        <v>73</v>
      </c>
      <c r="F72">
        <v>1319.17</v>
      </c>
      <c r="G72">
        <v>0.01</v>
      </c>
    </row>
    <row r="73" spans="1:7" x14ac:dyDescent="0.25">
      <c r="A73" t="s">
        <v>90</v>
      </c>
      <c r="B73">
        <v>4925994.8849999998</v>
      </c>
      <c r="C73">
        <v>2479071.7009999999</v>
      </c>
      <c r="D73" t="s">
        <v>71</v>
      </c>
      <c r="E73" t="s">
        <v>73</v>
      </c>
      <c r="F73">
        <v>1329.23</v>
      </c>
      <c r="G73">
        <v>0.03</v>
      </c>
    </row>
    <row r="74" spans="1:7" x14ac:dyDescent="0.25">
      <c r="A74" t="s">
        <v>90</v>
      </c>
      <c r="B74">
        <v>4925994.8849999998</v>
      </c>
      <c r="C74">
        <v>2479071.7009999999</v>
      </c>
      <c r="D74" t="s">
        <v>71</v>
      </c>
      <c r="E74" t="s">
        <v>73</v>
      </c>
      <c r="F74">
        <v>1340.21</v>
      </c>
      <c r="G74">
        <v>0.13</v>
      </c>
    </row>
    <row r="75" spans="1:7" x14ac:dyDescent="0.25">
      <c r="A75" t="s">
        <v>90</v>
      </c>
      <c r="B75">
        <v>4925994.8849999998</v>
      </c>
      <c r="C75">
        <v>2479071.7009999999</v>
      </c>
      <c r="D75" t="s">
        <v>71</v>
      </c>
      <c r="E75" t="s">
        <v>73</v>
      </c>
      <c r="F75">
        <v>1349.35</v>
      </c>
      <c r="G75">
        <v>0.04</v>
      </c>
    </row>
    <row r="76" spans="1:7" x14ac:dyDescent="0.25">
      <c r="A76" t="s">
        <v>90</v>
      </c>
      <c r="B76">
        <v>4925994.8849999998</v>
      </c>
      <c r="C76">
        <v>2479071.7009999999</v>
      </c>
      <c r="D76" t="s">
        <v>71</v>
      </c>
      <c r="E76" t="s">
        <v>73</v>
      </c>
      <c r="F76">
        <v>1358.19</v>
      </c>
      <c r="G76">
        <v>0.01</v>
      </c>
    </row>
    <row r="77" spans="1:7" x14ac:dyDescent="0.25">
      <c r="A77" t="s">
        <v>90</v>
      </c>
      <c r="B77">
        <v>4925994.8849999998</v>
      </c>
      <c r="C77">
        <v>2479071.7009999999</v>
      </c>
      <c r="D77" t="s">
        <v>71</v>
      </c>
      <c r="E77" t="s">
        <v>73</v>
      </c>
      <c r="F77">
        <v>1363.37</v>
      </c>
      <c r="G77">
        <v>0.02</v>
      </c>
    </row>
    <row r="78" spans="1:7" x14ac:dyDescent="0.25">
      <c r="A78" t="s">
        <v>92</v>
      </c>
      <c r="B78">
        <v>4911389.1720000003</v>
      </c>
      <c r="C78">
        <v>2392894.7220000001</v>
      </c>
      <c r="D78" t="s">
        <v>71</v>
      </c>
      <c r="E78" t="s">
        <v>93</v>
      </c>
      <c r="F78">
        <v>2609.6799999999998</v>
      </c>
      <c r="G78">
        <v>19.399999999999999</v>
      </c>
    </row>
    <row r="79" spans="1:7" x14ac:dyDescent="0.25">
      <c r="A79" t="s">
        <v>92</v>
      </c>
      <c r="B79">
        <v>4911389.1720000003</v>
      </c>
      <c r="C79">
        <v>2392894.7220000001</v>
      </c>
      <c r="D79" t="s">
        <v>71</v>
      </c>
      <c r="E79" t="s">
        <v>93</v>
      </c>
      <c r="F79">
        <v>2610.59</v>
      </c>
      <c r="G79">
        <v>16.8</v>
      </c>
    </row>
    <row r="80" spans="1:7" x14ac:dyDescent="0.25">
      <c r="A80" t="s">
        <v>94</v>
      </c>
      <c r="B80">
        <v>4920045.6260000002</v>
      </c>
      <c r="C80">
        <v>2451413.1880000001</v>
      </c>
      <c r="D80">
        <v>0</v>
      </c>
      <c r="E80" t="s">
        <v>95</v>
      </c>
      <c r="F80">
        <v>1796.8</v>
      </c>
      <c r="G80">
        <v>24.4</v>
      </c>
    </row>
    <row r="81" spans="1:7" x14ac:dyDescent="0.25">
      <c r="A81" t="s">
        <v>94</v>
      </c>
      <c r="B81">
        <v>4920045.6260000002</v>
      </c>
      <c r="C81">
        <v>2451413.1880000001</v>
      </c>
      <c r="D81">
        <v>0</v>
      </c>
      <c r="E81" t="s">
        <v>95</v>
      </c>
      <c r="F81">
        <v>1797.41</v>
      </c>
      <c r="G81">
        <v>26.1</v>
      </c>
    </row>
    <row r="82" spans="1:7" x14ac:dyDescent="0.25">
      <c r="A82" t="s">
        <v>94</v>
      </c>
      <c r="B82">
        <v>4920045.6260000002</v>
      </c>
      <c r="C82">
        <v>2451413.1880000001</v>
      </c>
      <c r="D82">
        <v>0</v>
      </c>
      <c r="E82" t="s">
        <v>95</v>
      </c>
      <c r="F82">
        <v>1800.15</v>
      </c>
      <c r="G82">
        <v>28.1</v>
      </c>
    </row>
    <row r="83" spans="1:7" x14ac:dyDescent="0.25">
      <c r="A83" t="s">
        <v>94</v>
      </c>
      <c r="B83">
        <v>4920045.6260000002</v>
      </c>
      <c r="C83">
        <v>2451413.1880000001</v>
      </c>
      <c r="D83">
        <v>0</v>
      </c>
      <c r="E83" t="s">
        <v>95</v>
      </c>
      <c r="F83">
        <v>1800.76</v>
      </c>
      <c r="G83">
        <v>23.8</v>
      </c>
    </row>
    <row r="84" spans="1:7" x14ac:dyDescent="0.25">
      <c r="A84" t="s">
        <v>94</v>
      </c>
      <c r="B84">
        <v>4920045.6260000002</v>
      </c>
      <c r="C84">
        <v>2451413.1880000001</v>
      </c>
      <c r="D84">
        <v>0</v>
      </c>
      <c r="E84" t="s">
        <v>95</v>
      </c>
      <c r="F84">
        <v>1874.82</v>
      </c>
      <c r="G84">
        <v>26.4</v>
      </c>
    </row>
    <row r="85" spans="1:7" x14ac:dyDescent="0.25">
      <c r="A85" t="s">
        <v>94</v>
      </c>
      <c r="B85">
        <v>4920045.6260000002</v>
      </c>
      <c r="C85">
        <v>2451413.1880000001</v>
      </c>
      <c r="D85">
        <v>0</v>
      </c>
      <c r="E85" t="s">
        <v>95</v>
      </c>
      <c r="F85">
        <v>1879.4</v>
      </c>
      <c r="G85">
        <v>25.7</v>
      </c>
    </row>
    <row r="86" spans="1:7" x14ac:dyDescent="0.25">
      <c r="A86" t="s">
        <v>94</v>
      </c>
      <c r="B86">
        <v>4920045.6260000002</v>
      </c>
      <c r="C86">
        <v>2451413.1880000001</v>
      </c>
      <c r="D86">
        <v>0</v>
      </c>
      <c r="E86" t="s">
        <v>95</v>
      </c>
      <c r="F86">
        <v>1890.37</v>
      </c>
      <c r="G86">
        <v>23.1</v>
      </c>
    </row>
    <row r="87" spans="1:7" x14ac:dyDescent="0.25">
      <c r="A87" t="s">
        <v>94</v>
      </c>
      <c r="B87">
        <v>4920045.6260000002</v>
      </c>
      <c r="C87">
        <v>2451413.1880000001</v>
      </c>
      <c r="D87">
        <v>0</v>
      </c>
      <c r="E87" t="s">
        <v>95</v>
      </c>
      <c r="F87">
        <v>1891.89</v>
      </c>
      <c r="G87">
        <v>24.2</v>
      </c>
    </row>
    <row r="88" spans="1:7" x14ac:dyDescent="0.25">
      <c r="A88" t="s">
        <v>94</v>
      </c>
      <c r="B88">
        <v>4920045.6260000002</v>
      </c>
      <c r="C88">
        <v>2451413.1880000001</v>
      </c>
      <c r="D88">
        <v>0</v>
      </c>
      <c r="E88" t="s">
        <v>95</v>
      </c>
      <c r="F88">
        <v>1894.03</v>
      </c>
      <c r="G88">
        <v>22.3</v>
      </c>
    </row>
    <row r="89" spans="1:7" x14ac:dyDescent="0.25">
      <c r="A89" t="s">
        <v>94</v>
      </c>
      <c r="B89">
        <v>4920045.6260000002</v>
      </c>
      <c r="C89">
        <v>2451413.1880000001</v>
      </c>
      <c r="D89">
        <v>0</v>
      </c>
      <c r="E89" t="s">
        <v>21</v>
      </c>
      <c r="F89">
        <v>1895.86</v>
      </c>
      <c r="G89">
        <v>23</v>
      </c>
    </row>
    <row r="90" spans="1:7" x14ac:dyDescent="0.25">
      <c r="A90" t="s">
        <v>94</v>
      </c>
      <c r="B90">
        <v>4920045.6260000002</v>
      </c>
      <c r="C90">
        <v>2451413.1880000001</v>
      </c>
      <c r="D90">
        <v>0</v>
      </c>
      <c r="E90" t="s">
        <v>21</v>
      </c>
      <c r="F90">
        <v>1897.68</v>
      </c>
      <c r="G90">
        <v>17.600000000000001</v>
      </c>
    </row>
    <row r="91" spans="1:7" x14ac:dyDescent="0.25">
      <c r="A91" t="s">
        <v>94</v>
      </c>
      <c r="B91">
        <v>4920045.6260000002</v>
      </c>
      <c r="C91">
        <v>2451413.1880000001</v>
      </c>
      <c r="D91">
        <v>0</v>
      </c>
      <c r="E91" t="s">
        <v>21</v>
      </c>
      <c r="F91">
        <v>1898.6</v>
      </c>
      <c r="G91">
        <v>22.6</v>
      </c>
    </row>
    <row r="92" spans="1:7" x14ac:dyDescent="0.25">
      <c r="A92" t="s">
        <v>94</v>
      </c>
      <c r="B92">
        <v>4920045.6260000002</v>
      </c>
      <c r="C92">
        <v>2451413.1880000001</v>
      </c>
      <c r="D92">
        <v>0</v>
      </c>
      <c r="E92" t="s">
        <v>21</v>
      </c>
      <c r="F92">
        <v>1900.73</v>
      </c>
      <c r="G92">
        <v>25</v>
      </c>
    </row>
    <row r="93" spans="1:7" x14ac:dyDescent="0.25">
      <c r="A93" t="s">
        <v>94</v>
      </c>
      <c r="B93">
        <v>4920045.6260000002</v>
      </c>
      <c r="C93">
        <v>2451413.1880000001</v>
      </c>
      <c r="D93">
        <v>0</v>
      </c>
      <c r="E93" t="s">
        <v>21</v>
      </c>
      <c r="F93">
        <v>1902.87</v>
      </c>
      <c r="G93">
        <v>25.1</v>
      </c>
    </row>
    <row r="94" spans="1:7" x14ac:dyDescent="0.25">
      <c r="A94" t="s">
        <v>94</v>
      </c>
      <c r="B94">
        <v>4920045.6260000002</v>
      </c>
      <c r="C94">
        <v>2451413.1880000001</v>
      </c>
      <c r="D94">
        <v>0</v>
      </c>
      <c r="E94" t="s">
        <v>21</v>
      </c>
      <c r="F94">
        <v>1905.91</v>
      </c>
      <c r="G94">
        <v>21.3</v>
      </c>
    </row>
    <row r="95" spans="1:7" x14ac:dyDescent="0.25">
      <c r="A95" t="s">
        <v>94</v>
      </c>
      <c r="B95">
        <v>4920045.6260000002</v>
      </c>
      <c r="C95">
        <v>2451413.1880000001</v>
      </c>
      <c r="D95">
        <v>0</v>
      </c>
      <c r="E95" t="s">
        <v>21</v>
      </c>
      <c r="F95">
        <v>1908.96</v>
      </c>
      <c r="G95">
        <v>24.5</v>
      </c>
    </row>
    <row r="96" spans="1:7" x14ac:dyDescent="0.25">
      <c r="A96" t="s">
        <v>96</v>
      </c>
      <c r="B96">
        <v>4906224.4309999999</v>
      </c>
      <c r="C96">
        <v>2383214.9920000001</v>
      </c>
      <c r="D96" t="s">
        <v>71</v>
      </c>
      <c r="E96" t="s">
        <v>93</v>
      </c>
      <c r="F96">
        <v>2622.85</v>
      </c>
      <c r="G96">
        <v>12</v>
      </c>
    </row>
    <row r="97" spans="1:7" x14ac:dyDescent="0.25">
      <c r="A97" t="s">
        <v>96</v>
      </c>
      <c r="B97">
        <v>4906224.4309999999</v>
      </c>
      <c r="C97">
        <v>2383214.9920000001</v>
      </c>
      <c r="D97" t="s">
        <v>71</v>
      </c>
      <c r="E97" t="s">
        <v>93</v>
      </c>
      <c r="F97">
        <v>2623.62</v>
      </c>
      <c r="G97">
        <v>9.3000000000000007</v>
      </c>
    </row>
    <row r="98" spans="1:7" x14ac:dyDescent="0.25">
      <c r="A98" t="s">
        <v>97</v>
      </c>
      <c r="B98">
        <v>4911407.1469999999</v>
      </c>
      <c r="C98">
        <v>2357621.1579999998</v>
      </c>
      <c r="D98" t="s">
        <v>71</v>
      </c>
      <c r="E98" t="s">
        <v>38</v>
      </c>
      <c r="F98">
        <v>3458.3</v>
      </c>
      <c r="G98">
        <v>1.7</v>
      </c>
    </row>
    <row r="99" spans="1:7" x14ac:dyDescent="0.25">
      <c r="A99" t="s">
        <v>97</v>
      </c>
      <c r="B99">
        <v>4911407.1469999999</v>
      </c>
      <c r="C99">
        <v>2357621.1579999998</v>
      </c>
      <c r="D99" t="s">
        <v>71</v>
      </c>
      <c r="E99" t="s">
        <v>38</v>
      </c>
      <c r="F99">
        <v>3461.4</v>
      </c>
      <c r="G99">
        <v>1.9</v>
      </c>
    </row>
    <row r="100" spans="1:7" x14ac:dyDescent="0.25">
      <c r="A100" t="s">
        <v>97</v>
      </c>
      <c r="B100">
        <v>4911407.1469999999</v>
      </c>
      <c r="C100">
        <v>2357621.1579999998</v>
      </c>
      <c r="D100" t="s">
        <v>71</v>
      </c>
      <c r="E100" t="s">
        <v>38</v>
      </c>
      <c r="F100">
        <v>3464.1</v>
      </c>
      <c r="G100">
        <v>2.2000000000000002</v>
      </c>
    </row>
    <row r="101" spans="1:7" x14ac:dyDescent="0.25">
      <c r="A101" t="s">
        <v>97</v>
      </c>
      <c r="B101">
        <v>4911407.1469999999</v>
      </c>
      <c r="C101">
        <v>2357621.1579999998</v>
      </c>
      <c r="D101" t="s">
        <v>71</v>
      </c>
      <c r="E101" t="s">
        <v>38</v>
      </c>
      <c r="F101">
        <v>3466.8</v>
      </c>
      <c r="G101">
        <v>1.75</v>
      </c>
    </row>
    <row r="102" spans="1:7" x14ac:dyDescent="0.25">
      <c r="A102" t="s">
        <v>97</v>
      </c>
      <c r="B102">
        <v>4911407.1469999999</v>
      </c>
      <c r="C102">
        <v>2357621.1579999998</v>
      </c>
      <c r="D102" t="s">
        <v>71</v>
      </c>
      <c r="E102" t="s">
        <v>38</v>
      </c>
      <c r="F102">
        <v>3468</v>
      </c>
      <c r="G102">
        <v>1.4</v>
      </c>
    </row>
    <row r="103" spans="1:7" x14ac:dyDescent="0.25">
      <c r="A103" t="s">
        <v>97</v>
      </c>
      <c r="B103">
        <v>4911407.1469999999</v>
      </c>
      <c r="C103">
        <v>2357621.1579999998</v>
      </c>
      <c r="D103" t="s">
        <v>71</v>
      </c>
      <c r="E103" t="s">
        <v>38</v>
      </c>
      <c r="F103">
        <v>3474.3</v>
      </c>
      <c r="G103">
        <v>1.75</v>
      </c>
    </row>
    <row r="104" spans="1:7" x14ac:dyDescent="0.25">
      <c r="A104" t="s">
        <v>97</v>
      </c>
      <c r="B104">
        <v>4911407.1469999999</v>
      </c>
      <c r="C104">
        <v>2357621.1579999998</v>
      </c>
      <c r="D104" t="s">
        <v>71</v>
      </c>
      <c r="E104" t="s">
        <v>38</v>
      </c>
      <c r="F104">
        <v>3475.9</v>
      </c>
      <c r="G104">
        <v>1.65</v>
      </c>
    </row>
    <row r="105" spans="1:7" x14ac:dyDescent="0.25">
      <c r="A105" t="s">
        <v>97</v>
      </c>
      <c r="B105">
        <v>4911407.1469999999</v>
      </c>
      <c r="C105">
        <v>2357621.1579999998</v>
      </c>
      <c r="D105" t="s">
        <v>71</v>
      </c>
      <c r="E105" t="s">
        <v>38</v>
      </c>
      <c r="F105">
        <v>3477.9</v>
      </c>
      <c r="G105">
        <v>2.2000000000000002</v>
      </c>
    </row>
    <row r="106" spans="1:7" x14ac:dyDescent="0.25">
      <c r="A106" t="s">
        <v>97</v>
      </c>
      <c r="B106">
        <v>4911407.1469999999</v>
      </c>
      <c r="C106">
        <v>2357621.1579999998</v>
      </c>
      <c r="D106" t="s">
        <v>71</v>
      </c>
      <c r="E106" t="s">
        <v>38</v>
      </c>
      <c r="F106">
        <v>3484</v>
      </c>
      <c r="G106">
        <v>1.8</v>
      </c>
    </row>
    <row r="107" spans="1:7" x14ac:dyDescent="0.25">
      <c r="A107" t="s">
        <v>97</v>
      </c>
      <c r="B107">
        <v>4911407.1469999999</v>
      </c>
      <c r="C107">
        <v>2357621.1579999998</v>
      </c>
      <c r="D107" t="s">
        <v>71</v>
      </c>
      <c r="E107" t="s">
        <v>38</v>
      </c>
      <c r="F107">
        <v>3490.1</v>
      </c>
      <c r="G107">
        <v>4.45</v>
      </c>
    </row>
    <row r="108" spans="1:7" x14ac:dyDescent="0.25">
      <c r="A108" t="s">
        <v>97</v>
      </c>
      <c r="B108">
        <v>4911407.1469999999</v>
      </c>
      <c r="C108">
        <v>2357621.1579999998</v>
      </c>
      <c r="D108" t="s">
        <v>71</v>
      </c>
      <c r="E108" t="s">
        <v>38</v>
      </c>
      <c r="F108">
        <v>3491.2</v>
      </c>
      <c r="G108">
        <v>1.45</v>
      </c>
    </row>
    <row r="109" spans="1:7" x14ac:dyDescent="0.25">
      <c r="A109" t="s">
        <v>97</v>
      </c>
      <c r="B109">
        <v>4911407.1469999999</v>
      </c>
      <c r="C109">
        <v>2357621.1579999998</v>
      </c>
      <c r="D109" t="s">
        <v>71</v>
      </c>
      <c r="E109" t="s">
        <v>38</v>
      </c>
      <c r="F109">
        <v>3493.2</v>
      </c>
      <c r="G109">
        <v>18</v>
      </c>
    </row>
    <row r="110" spans="1:7" x14ac:dyDescent="0.25">
      <c r="A110" t="s">
        <v>97</v>
      </c>
      <c r="B110">
        <v>4911407.1469999999</v>
      </c>
      <c r="C110">
        <v>2357621.1579999998</v>
      </c>
      <c r="D110" t="s">
        <v>71</v>
      </c>
      <c r="E110" t="s">
        <v>38</v>
      </c>
      <c r="F110">
        <v>3495.6</v>
      </c>
      <c r="G110">
        <v>3.72</v>
      </c>
    </row>
    <row r="111" spans="1:7" x14ac:dyDescent="0.25">
      <c r="A111" t="s">
        <v>97</v>
      </c>
      <c r="B111">
        <v>4911407.1469999999</v>
      </c>
      <c r="C111">
        <v>2357621.1579999998</v>
      </c>
      <c r="D111" t="s">
        <v>71</v>
      </c>
      <c r="E111" t="s">
        <v>38</v>
      </c>
      <c r="F111">
        <v>3498.3</v>
      </c>
      <c r="G111">
        <v>11.3</v>
      </c>
    </row>
    <row r="112" spans="1:7" x14ac:dyDescent="0.25">
      <c r="A112" t="s">
        <v>97</v>
      </c>
      <c r="B112">
        <v>4911407.1469999999</v>
      </c>
      <c r="C112">
        <v>2357621.1579999998</v>
      </c>
      <c r="D112" t="s">
        <v>71</v>
      </c>
      <c r="E112" t="s">
        <v>38</v>
      </c>
      <c r="F112">
        <v>3500.1</v>
      </c>
      <c r="G112">
        <v>0.4</v>
      </c>
    </row>
    <row r="113" spans="1:7" x14ac:dyDescent="0.25">
      <c r="A113" t="s">
        <v>97</v>
      </c>
      <c r="B113">
        <v>4911407.1469999999</v>
      </c>
      <c r="C113">
        <v>2357621.1579999998</v>
      </c>
      <c r="D113" t="s">
        <v>71</v>
      </c>
      <c r="E113" t="s">
        <v>38</v>
      </c>
      <c r="F113">
        <v>3502.6</v>
      </c>
      <c r="G113">
        <v>0.4</v>
      </c>
    </row>
    <row r="114" spans="1:7" x14ac:dyDescent="0.25">
      <c r="A114" t="s">
        <v>97</v>
      </c>
      <c r="B114">
        <v>4911407.1469999999</v>
      </c>
      <c r="C114">
        <v>2357621.1579999998</v>
      </c>
      <c r="D114" t="s">
        <v>71</v>
      </c>
      <c r="E114" t="s">
        <v>38</v>
      </c>
      <c r="F114">
        <v>3508.1</v>
      </c>
      <c r="G114">
        <v>1.2</v>
      </c>
    </row>
    <row r="115" spans="1:7" x14ac:dyDescent="0.25">
      <c r="A115" t="s">
        <v>97</v>
      </c>
      <c r="B115">
        <v>4911407.1469999999</v>
      </c>
      <c r="C115">
        <v>2357621.1579999998</v>
      </c>
      <c r="D115" t="s">
        <v>71</v>
      </c>
      <c r="E115" t="s">
        <v>38</v>
      </c>
      <c r="F115">
        <v>3522.6</v>
      </c>
      <c r="G115">
        <v>0</v>
      </c>
    </row>
    <row r="116" spans="1:7" x14ac:dyDescent="0.25">
      <c r="A116" t="s">
        <v>97</v>
      </c>
      <c r="B116">
        <v>4911407.1469999999</v>
      </c>
      <c r="C116">
        <v>2357621.1579999998</v>
      </c>
      <c r="D116" t="s">
        <v>71</v>
      </c>
      <c r="E116" t="s">
        <v>38</v>
      </c>
      <c r="F116">
        <v>3523.6</v>
      </c>
      <c r="G116">
        <v>0</v>
      </c>
    </row>
    <row r="117" spans="1:7" x14ac:dyDescent="0.25">
      <c r="A117" t="s">
        <v>97</v>
      </c>
      <c r="B117">
        <v>4911407.1469999999</v>
      </c>
      <c r="C117">
        <v>2357621.1579999998</v>
      </c>
      <c r="D117" t="s">
        <v>71</v>
      </c>
      <c r="E117" t="s">
        <v>38</v>
      </c>
      <c r="F117">
        <v>3524.6</v>
      </c>
      <c r="G117">
        <v>0</v>
      </c>
    </row>
    <row r="118" spans="1:7" x14ac:dyDescent="0.25">
      <c r="A118" t="s">
        <v>97</v>
      </c>
      <c r="B118">
        <v>4911407.1469999999</v>
      </c>
      <c r="C118">
        <v>2357621.1579999998</v>
      </c>
      <c r="D118" t="s">
        <v>71</v>
      </c>
      <c r="E118" t="s">
        <v>38</v>
      </c>
      <c r="F118">
        <v>3526.3</v>
      </c>
      <c r="G118">
        <v>0.4</v>
      </c>
    </row>
    <row r="119" spans="1:7" x14ac:dyDescent="0.25">
      <c r="A119" t="s">
        <v>98</v>
      </c>
      <c r="B119">
        <v>4927162.2070000004</v>
      </c>
      <c r="C119">
        <v>2480230.7540000002</v>
      </c>
      <c r="D119" t="s">
        <v>71</v>
      </c>
      <c r="E119" t="s">
        <v>99</v>
      </c>
      <c r="F119">
        <v>1338.07</v>
      </c>
      <c r="G119">
        <v>8</v>
      </c>
    </row>
    <row r="120" spans="1:7" x14ac:dyDescent="0.25">
      <c r="A120" t="s">
        <v>98</v>
      </c>
      <c r="B120">
        <v>4927162.2070000004</v>
      </c>
      <c r="C120">
        <v>2480230.7540000002</v>
      </c>
      <c r="D120" t="s">
        <v>71</v>
      </c>
      <c r="E120" t="s">
        <v>99</v>
      </c>
      <c r="F120">
        <v>1353.31</v>
      </c>
      <c r="G120">
        <v>7</v>
      </c>
    </row>
    <row r="121" spans="1:7" x14ac:dyDescent="0.25">
      <c r="A121" t="s">
        <v>100</v>
      </c>
      <c r="B121">
        <v>4660624.4479999999</v>
      </c>
      <c r="C121">
        <v>2587083.7379999999</v>
      </c>
      <c r="D121" t="s">
        <v>101</v>
      </c>
      <c r="E121" t="s">
        <v>40</v>
      </c>
      <c r="F121">
        <v>2557.2719999999999</v>
      </c>
      <c r="G121">
        <v>9.4499999999999993</v>
      </c>
    </row>
    <row r="122" spans="1:7" x14ac:dyDescent="0.25">
      <c r="A122" t="s">
        <v>102</v>
      </c>
      <c r="B122">
        <v>4888860.6119999997</v>
      </c>
      <c r="C122">
        <v>2349658.0219999999</v>
      </c>
      <c r="D122" t="s">
        <v>103</v>
      </c>
      <c r="E122" t="s">
        <v>41</v>
      </c>
      <c r="F122">
        <v>666.29</v>
      </c>
      <c r="G122">
        <v>12.5</v>
      </c>
    </row>
    <row r="123" spans="1:7" x14ac:dyDescent="0.25">
      <c r="A123" t="s">
        <v>102</v>
      </c>
      <c r="B123">
        <v>4888860.6119999997</v>
      </c>
      <c r="C123">
        <v>2349658.0219999999</v>
      </c>
      <c r="D123" t="s">
        <v>103</v>
      </c>
      <c r="E123" t="s">
        <v>41</v>
      </c>
      <c r="F123">
        <v>668.73</v>
      </c>
      <c r="G123">
        <v>21.3</v>
      </c>
    </row>
    <row r="124" spans="1:7" x14ac:dyDescent="0.25">
      <c r="A124" t="s">
        <v>102</v>
      </c>
      <c r="B124">
        <v>4888860.6119999997</v>
      </c>
      <c r="C124">
        <v>2349658.0219999999</v>
      </c>
      <c r="D124" t="s">
        <v>103</v>
      </c>
      <c r="E124" t="s">
        <v>41</v>
      </c>
      <c r="F124">
        <v>669.95</v>
      </c>
      <c r="G124">
        <v>24.4</v>
      </c>
    </row>
    <row r="125" spans="1:7" x14ac:dyDescent="0.25">
      <c r="A125" t="s">
        <v>102</v>
      </c>
      <c r="B125">
        <v>4888860.6119999997</v>
      </c>
      <c r="C125">
        <v>2349658.0219999999</v>
      </c>
      <c r="D125" t="s">
        <v>103</v>
      </c>
      <c r="E125" t="s">
        <v>41</v>
      </c>
      <c r="F125">
        <v>671.17</v>
      </c>
      <c r="G125">
        <v>24</v>
      </c>
    </row>
    <row r="126" spans="1:7" x14ac:dyDescent="0.25">
      <c r="A126" t="s">
        <v>102</v>
      </c>
      <c r="B126">
        <v>4888860.6119999997</v>
      </c>
      <c r="C126">
        <v>2349658.0219999999</v>
      </c>
      <c r="D126" t="s">
        <v>103</v>
      </c>
      <c r="E126" t="s">
        <v>41</v>
      </c>
      <c r="F126">
        <v>672.08</v>
      </c>
      <c r="G126">
        <v>26.8</v>
      </c>
    </row>
    <row r="127" spans="1:7" x14ac:dyDescent="0.25">
      <c r="A127" t="s">
        <v>102</v>
      </c>
      <c r="B127">
        <v>4888860.6119999997</v>
      </c>
      <c r="C127">
        <v>2349658.0219999999</v>
      </c>
      <c r="D127" t="s">
        <v>103</v>
      </c>
      <c r="E127" t="s">
        <v>41</v>
      </c>
      <c r="F127">
        <v>673.3</v>
      </c>
      <c r="G127">
        <v>19.2</v>
      </c>
    </row>
    <row r="128" spans="1:7" x14ac:dyDescent="0.25">
      <c r="A128" t="s">
        <v>102</v>
      </c>
      <c r="B128">
        <v>4888860.6119999997</v>
      </c>
      <c r="C128">
        <v>2349658.0219999999</v>
      </c>
      <c r="D128" t="s">
        <v>103</v>
      </c>
      <c r="E128" t="s">
        <v>41</v>
      </c>
      <c r="F128">
        <v>673.91</v>
      </c>
      <c r="G128">
        <v>29.2</v>
      </c>
    </row>
    <row r="129" spans="1:7" x14ac:dyDescent="0.25">
      <c r="A129" t="s">
        <v>102</v>
      </c>
      <c r="B129">
        <v>4888860.6119999997</v>
      </c>
      <c r="C129">
        <v>2349658.0219999999</v>
      </c>
      <c r="D129" t="s">
        <v>103</v>
      </c>
      <c r="E129" t="s">
        <v>41</v>
      </c>
      <c r="F129">
        <v>679.7</v>
      </c>
      <c r="G129">
        <v>31.2</v>
      </c>
    </row>
    <row r="130" spans="1:7" x14ac:dyDescent="0.25">
      <c r="A130" t="s">
        <v>102</v>
      </c>
      <c r="B130">
        <v>4888860.6119999997</v>
      </c>
      <c r="C130">
        <v>2349658.0219999999</v>
      </c>
      <c r="D130" t="s">
        <v>103</v>
      </c>
      <c r="E130" t="s">
        <v>41</v>
      </c>
      <c r="F130">
        <v>686.71</v>
      </c>
      <c r="G130">
        <v>27</v>
      </c>
    </row>
    <row r="131" spans="1:7" x14ac:dyDescent="0.25">
      <c r="A131" t="s">
        <v>104</v>
      </c>
      <c r="B131">
        <v>4911259.2259999998</v>
      </c>
      <c r="C131">
        <v>2403970.4169999999</v>
      </c>
      <c r="D131" t="s">
        <v>71</v>
      </c>
      <c r="E131" t="s">
        <v>75</v>
      </c>
      <c r="F131">
        <v>2858.7496799999999</v>
      </c>
      <c r="G131">
        <v>10.9</v>
      </c>
    </row>
    <row r="132" spans="1:7" x14ac:dyDescent="0.25">
      <c r="A132" t="s">
        <v>104</v>
      </c>
      <c r="B132">
        <v>4911259.2259999998</v>
      </c>
      <c r="C132">
        <v>2403970.4169999999</v>
      </c>
      <c r="D132" t="s">
        <v>71</v>
      </c>
      <c r="E132" t="s">
        <v>75</v>
      </c>
      <c r="F132">
        <v>2860.6394399999999</v>
      </c>
      <c r="G132">
        <v>12.9</v>
      </c>
    </row>
    <row r="133" spans="1:7" x14ac:dyDescent="0.25">
      <c r="A133" t="s">
        <v>104</v>
      </c>
      <c r="B133">
        <v>4911259.2259999998</v>
      </c>
      <c r="C133">
        <v>2403970.4169999999</v>
      </c>
      <c r="D133" t="s">
        <v>71</v>
      </c>
      <c r="E133" t="s">
        <v>75</v>
      </c>
      <c r="F133">
        <v>2870.8197599999999</v>
      </c>
      <c r="G133">
        <v>13.6</v>
      </c>
    </row>
    <row r="134" spans="1:7" x14ac:dyDescent="0.25">
      <c r="A134" t="s">
        <v>104</v>
      </c>
      <c r="B134">
        <v>4911259.2259999998</v>
      </c>
      <c r="C134">
        <v>2403970.4169999999</v>
      </c>
      <c r="D134" t="s">
        <v>71</v>
      </c>
      <c r="E134" t="s">
        <v>75</v>
      </c>
      <c r="F134">
        <v>2873.22768</v>
      </c>
      <c r="G134">
        <v>12</v>
      </c>
    </row>
    <row r="135" spans="1:7" x14ac:dyDescent="0.25">
      <c r="A135" t="s">
        <v>104</v>
      </c>
      <c r="B135">
        <v>4911259.2259999998</v>
      </c>
      <c r="C135">
        <v>2403970.4169999999</v>
      </c>
      <c r="D135" t="s">
        <v>71</v>
      </c>
      <c r="E135" t="s">
        <v>75</v>
      </c>
      <c r="F135">
        <v>2876.06232</v>
      </c>
      <c r="G135">
        <v>13.2</v>
      </c>
    </row>
    <row r="136" spans="1:7" x14ac:dyDescent="0.25">
      <c r="A136" t="s">
        <v>104</v>
      </c>
      <c r="B136">
        <v>4911259.2259999998</v>
      </c>
      <c r="C136">
        <v>2403970.4169999999</v>
      </c>
      <c r="D136" t="s">
        <v>71</v>
      </c>
      <c r="E136" t="s">
        <v>75</v>
      </c>
      <c r="F136">
        <v>2878.89696</v>
      </c>
      <c r="G136">
        <v>10.9</v>
      </c>
    </row>
    <row r="137" spans="1:7" x14ac:dyDescent="0.25">
      <c r="A137" t="s">
        <v>104</v>
      </c>
      <c r="B137">
        <v>4911259.2259999998</v>
      </c>
      <c r="C137">
        <v>2403970.4169999999</v>
      </c>
      <c r="D137" t="s">
        <v>71</v>
      </c>
      <c r="E137" t="s">
        <v>75</v>
      </c>
      <c r="F137">
        <v>2888.8944000000001</v>
      </c>
      <c r="G137">
        <v>4</v>
      </c>
    </row>
    <row r="138" spans="1:7" x14ac:dyDescent="0.25">
      <c r="A138" t="s">
        <v>104</v>
      </c>
      <c r="B138">
        <v>4911259.2259999998</v>
      </c>
      <c r="C138">
        <v>2403970.4169999999</v>
      </c>
      <c r="D138" t="s">
        <v>71</v>
      </c>
      <c r="E138" t="s">
        <v>75</v>
      </c>
      <c r="F138">
        <v>2889.0468000000001</v>
      </c>
      <c r="G138">
        <v>10</v>
      </c>
    </row>
    <row r="139" spans="1:7" x14ac:dyDescent="0.25">
      <c r="A139" t="s">
        <v>104</v>
      </c>
      <c r="B139">
        <v>4911259.2259999998</v>
      </c>
      <c r="C139">
        <v>2403970.4169999999</v>
      </c>
      <c r="D139" t="s">
        <v>71</v>
      </c>
      <c r="E139" t="s">
        <v>75</v>
      </c>
      <c r="F139">
        <v>2894.6551199999999</v>
      </c>
      <c r="G139">
        <v>6.3</v>
      </c>
    </row>
    <row r="140" spans="1:7" x14ac:dyDescent="0.25">
      <c r="A140" t="s">
        <v>104</v>
      </c>
      <c r="B140">
        <v>4911259.2259999998</v>
      </c>
      <c r="C140">
        <v>2403970.4169999999</v>
      </c>
      <c r="D140" t="s">
        <v>71</v>
      </c>
      <c r="E140" t="s">
        <v>75</v>
      </c>
      <c r="F140">
        <v>2898.2517600000001</v>
      </c>
      <c r="G140">
        <v>6.5</v>
      </c>
    </row>
    <row r="141" spans="1:7" x14ac:dyDescent="0.25">
      <c r="A141" t="s">
        <v>104</v>
      </c>
      <c r="B141">
        <v>4911259.2259999998</v>
      </c>
      <c r="C141">
        <v>2403970.4169999999</v>
      </c>
      <c r="D141" t="s">
        <v>71</v>
      </c>
      <c r="E141" t="s">
        <v>75</v>
      </c>
      <c r="F141">
        <v>2898.3127199999999</v>
      </c>
      <c r="G141">
        <v>10</v>
      </c>
    </row>
    <row r="142" spans="1:7" x14ac:dyDescent="0.25">
      <c r="A142" t="s">
        <v>104</v>
      </c>
      <c r="B142">
        <v>4911259.2259999998</v>
      </c>
      <c r="C142">
        <v>2403970.4169999999</v>
      </c>
      <c r="D142" t="s">
        <v>71</v>
      </c>
      <c r="E142" t="s">
        <v>75</v>
      </c>
      <c r="F142">
        <v>2903.8296</v>
      </c>
      <c r="G142">
        <v>12.4</v>
      </c>
    </row>
    <row r="143" spans="1:7" x14ac:dyDescent="0.25">
      <c r="A143" t="s">
        <v>104</v>
      </c>
      <c r="B143">
        <v>4911259.2259999998</v>
      </c>
      <c r="C143">
        <v>2403970.4169999999</v>
      </c>
      <c r="D143" t="s">
        <v>71</v>
      </c>
      <c r="E143" t="s">
        <v>75</v>
      </c>
      <c r="F143">
        <v>2908.5235200000002</v>
      </c>
      <c r="G143">
        <v>15.1</v>
      </c>
    </row>
    <row r="144" spans="1:7" x14ac:dyDescent="0.25">
      <c r="A144" t="s">
        <v>104</v>
      </c>
      <c r="B144">
        <v>4911259.2259999998</v>
      </c>
      <c r="C144">
        <v>2403970.4169999999</v>
      </c>
      <c r="D144" t="s">
        <v>71</v>
      </c>
      <c r="E144" t="s">
        <v>75</v>
      </c>
      <c r="F144">
        <v>2912.5773600000002</v>
      </c>
      <c r="G144">
        <v>4.5999999999999996</v>
      </c>
    </row>
    <row r="145" spans="1:7" x14ac:dyDescent="0.25">
      <c r="A145" t="s">
        <v>104</v>
      </c>
      <c r="B145">
        <v>4911259.2259999998</v>
      </c>
      <c r="C145">
        <v>2403970.4169999999</v>
      </c>
      <c r="D145" t="s">
        <v>71</v>
      </c>
      <c r="E145" t="s">
        <v>75</v>
      </c>
      <c r="F145">
        <v>2914.65</v>
      </c>
      <c r="G145">
        <v>6.2</v>
      </c>
    </row>
    <row r="146" spans="1:7" x14ac:dyDescent="0.25">
      <c r="A146" t="s">
        <v>104</v>
      </c>
      <c r="B146">
        <v>4911259.2259999998</v>
      </c>
      <c r="C146">
        <v>2403970.4169999999</v>
      </c>
      <c r="D146" t="s">
        <v>71</v>
      </c>
      <c r="E146" t="s">
        <v>75</v>
      </c>
      <c r="F146">
        <v>2918.0028000000002</v>
      </c>
      <c r="G146">
        <v>6.9</v>
      </c>
    </row>
    <row r="147" spans="1:7" x14ac:dyDescent="0.25">
      <c r="A147" t="s">
        <v>104</v>
      </c>
      <c r="B147">
        <v>4911259.2259999998</v>
      </c>
      <c r="C147">
        <v>2403970.4169999999</v>
      </c>
      <c r="D147" t="s">
        <v>71</v>
      </c>
      <c r="E147" t="s">
        <v>75</v>
      </c>
      <c r="F147">
        <v>2922.3004799999999</v>
      </c>
      <c r="G147">
        <v>7.3</v>
      </c>
    </row>
    <row r="148" spans="1:7" x14ac:dyDescent="0.25">
      <c r="A148" t="s">
        <v>104</v>
      </c>
      <c r="B148">
        <v>4911259.2259999998</v>
      </c>
      <c r="C148">
        <v>2403970.4169999999</v>
      </c>
      <c r="D148" t="s">
        <v>71</v>
      </c>
      <c r="E148" t="s">
        <v>75</v>
      </c>
      <c r="F148">
        <v>2931.1701600000001</v>
      </c>
      <c r="G148">
        <v>5.9</v>
      </c>
    </row>
    <row r="149" spans="1:7" x14ac:dyDescent="0.25">
      <c r="A149" t="s">
        <v>104</v>
      </c>
      <c r="B149">
        <v>4911259.2259999998</v>
      </c>
      <c r="C149">
        <v>2403970.4169999999</v>
      </c>
      <c r="D149" t="s">
        <v>71</v>
      </c>
      <c r="E149" t="s">
        <v>75</v>
      </c>
      <c r="F149">
        <v>2939.6435999999999</v>
      </c>
      <c r="G149">
        <v>6.9</v>
      </c>
    </row>
    <row r="150" spans="1:7" x14ac:dyDescent="0.25">
      <c r="A150" t="s">
        <v>104</v>
      </c>
      <c r="B150">
        <v>4911259.2259999998</v>
      </c>
      <c r="C150">
        <v>2403970.4169999999</v>
      </c>
      <c r="D150" t="s">
        <v>71</v>
      </c>
      <c r="E150" t="s">
        <v>75</v>
      </c>
      <c r="F150">
        <v>2943.9108000000001</v>
      </c>
      <c r="G150">
        <v>9.8000000000000007</v>
      </c>
    </row>
    <row r="151" spans="1:7" x14ac:dyDescent="0.25">
      <c r="A151" t="s">
        <v>104</v>
      </c>
      <c r="B151">
        <v>4911259.2259999998</v>
      </c>
      <c r="C151">
        <v>2403970.4169999999</v>
      </c>
      <c r="D151" t="s">
        <v>71</v>
      </c>
      <c r="E151" t="s">
        <v>75</v>
      </c>
      <c r="F151">
        <v>2947.8122400000002</v>
      </c>
      <c r="G151">
        <v>6.9</v>
      </c>
    </row>
    <row r="152" spans="1:7" x14ac:dyDescent="0.25">
      <c r="A152" t="s">
        <v>104</v>
      </c>
      <c r="B152">
        <v>4911259.2259999998</v>
      </c>
      <c r="C152">
        <v>2403970.4169999999</v>
      </c>
      <c r="D152" t="s">
        <v>71</v>
      </c>
      <c r="E152" t="s">
        <v>75</v>
      </c>
      <c r="F152">
        <v>2953.0547999999999</v>
      </c>
      <c r="G152">
        <v>7.7</v>
      </c>
    </row>
    <row r="153" spans="1:7" x14ac:dyDescent="0.25">
      <c r="A153" t="s">
        <v>104</v>
      </c>
      <c r="B153">
        <v>4911259.2259999998</v>
      </c>
      <c r="C153">
        <v>2403970.4169999999</v>
      </c>
      <c r="D153" t="s">
        <v>71</v>
      </c>
      <c r="E153" t="s">
        <v>75</v>
      </c>
      <c r="F153">
        <v>2978.9627999999998</v>
      </c>
      <c r="G153">
        <v>4.3</v>
      </c>
    </row>
    <row r="154" spans="1:7" x14ac:dyDescent="0.25">
      <c r="A154" t="s">
        <v>104</v>
      </c>
      <c r="B154">
        <v>4911259.2259999998</v>
      </c>
      <c r="C154">
        <v>2403970.4169999999</v>
      </c>
      <c r="D154" t="s">
        <v>71</v>
      </c>
      <c r="E154" t="s">
        <v>75</v>
      </c>
      <c r="F154">
        <v>2984.6016</v>
      </c>
      <c r="G154">
        <v>4.5</v>
      </c>
    </row>
    <row r="155" spans="1:7" x14ac:dyDescent="0.25">
      <c r="A155" t="s">
        <v>104</v>
      </c>
      <c r="B155">
        <v>4911259.2259999998</v>
      </c>
      <c r="C155">
        <v>2403970.4169999999</v>
      </c>
      <c r="D155" t="s">
        <v>71</v>
      </c>
      <c r="E155" t="s">
        <v>75</v>
      </c>
      <c r="F155">
        <v>2987.3447999999999</v>
      </c>
      <c r="G155">
        <v>3.4</v>
      </c>
    </row>
    <row r="156" spans="1:7" x14ac:dyDescent="0.25">
      <c r="A156" t="s">
        <v>104</v>
      </c>
      <c r="B156">
        <v>4911259.2259999998</v>
      </c>
      <c r="C156">
        <v>2403970.4169999999</v>
      </c>
      <c r="D156" t="s">
        <v>71</v>
      </c>
      <c r="E156" t="s">
        <v>75</v>
      </c>
      <c r="F156">
        <v>2987.4057600000001</v>
      </c>
      <c r="G156">
        <v>4.5999999999999996</v>
      </c>
    </row>
    <row r="157" spans="1:7" x14ac:dyDescent="0.25">
      <c r="A157" t="s">
        <v>104</v>
      </c>
      <c r="B157">
        <v>4911259.2259999998</v>
      </c>
      <c r="C157">
        <v>2403970.4169999999</v>
      </c>
      <c r="D157" t="s">
        <v>71</v>
      </c>
      <c r="E157" t="s">
        <v>75</v>
      </c>
      <c r="F157">
        <v>3001.39608</v>
      </c>
      <c r="G157">
        <v>10.5</v>
      </c>
    </row>
    <row r="158" spans="1:7" x14ac:dyDescent="0.25">
      <c r="A158" t="s">
        <v>104</v>
      </c>
      <c r="B158">
        <v>4911259.2259999998</v>
      </c>
      <c r="C158">
        <v>2403970.4169999999</v>
      </c>
      <c r="D158" t="s">
        <v>71</v>
      </c>
      <c r="E158" t="s">
        <v>75</v>
      </c>
      <c r="F158">
        <v>3001.518</v>
      </c>
      <c r="G158">
        <v>11.7</v>
      </c>
    </row>
    <row r="159" spans="1:7" x14ac:dyDescent="0.25">
      <c r="A159" t="s">
        <v>104</v>
      </c>
      <c r="B159">
        <v>4911259.2259999998</v>
      </c>
      <c r="C159">
        <v>2403970.4169999999</v>
      </c>
      <c r="D159" t="s">
        <v>71</v>
      </c>
      <c r="E159" t="s">
        <v>75</v>
      </c>
      <c r="F159">
        <v>3013.43568</v>
      </c>
      <c r="G159">
        <v>12.2</v>
      </c>
    </row>
    <row r="160" spans="1:7" x14ac:dyDescent="0.25">
      <c r="A160" t="s">
        <v>104</v>
      </c>
      <c r="B160">
        <v>4911259.2259999998</v>
      </c>
      <c r="C160">
        <v>2403970.4169999999</v>
      </c>
      <c r="D160" t="s">
        <v>71</v>
      </c>
      <c r="E160" t="s">
        <v>75</v>
      </c>
      <c r="F160">
        <v>3025.0180799999998</v>
      </c>
      <c r="G160">
        <v>9.8000000000000007</v>
      </c>
    </row>
    <row r="161" spans="1:7" x14ac:dyDescent="0.25">
      <c r="A161" t="s">
        <v>104</v>
      </c>
      <c r="B161">
        <v>4911259.2259999998</v>
      </c>
      <c r="C161">
        <v>2403970.4169999999</v>
      </c>
      <c r="D161" t="s">
        <v>71</v>
      </c>
      <c r="E161" t="s">
        <v>75</v>
      </c>
      <c r="F161">
        <v>3042.9403200000002</v>
      </c>
      <c r="G161">
        <v>7.7</v>
      </c>
    </row>
    <row r="162" spans="1:7" x14ac:dyDescent="0.25">
      <c r="A162" t="s">
        <v>104</v>
      </c>
      <c r="B162">
        <v>4911259.2259999998</v>
      </c>
      <c r="C162">
        <v>2403970.4169999999</v>
      </c>
      <c r="D162" t="s">
        <v>71</v>
      </c>
      <c r="E162" t="s">
        <v>75</v>
      </c>
      <c r="F162">
        <v>3048.3047999999999</v>
      </c>
      <c r="G162">
        <v>7.9</v>
      </c>
    </row>
    <row r="163" spans="1:7" x14ac:dyDescent="0.25">
      <c r="A163" t="s">
        <v>104</v>
      </c>
      <c r="B163">
        <v>4911259.2259999998</v>
      </c>
      <c r="C163">
        <v>2403970.4169999999</v>
      </c>
      <c r="D163" t="s">
        <v>71</v>
      </c>
      <c r="E163" t="s">
        <v>75</v>
      </c>
      <c r="F163">
        <v>3059.43</v>
      </c>
      <c r="G163">
        <v>8.4</v>
      </c>
    </row>
    <row r="164" spans="1:7" x14ac:dyDescent="0.25">
      <c r="A164" t="s">
        <v>104</v>
      </c>
      <c r="B164">
        <v>4911259.2259999998</v>
      </c>
      <c r="C164">
        <v>2403970.4169999999</v>
      </c>
      <c r="D164" t="s">
        <v>71</v>
      </c>
      <c r="E164" t="s">
        <v>75</v>
      </c>
      <c r="F164">
        <v>3067.5986400000002</v>
      </c>
      <c r="G164">
        <v>8.1</v>
      </c>
    </row>
    <row r="165" spans="1:7" x14ac:dyDescent="0.25">
      <c r="A165" t="s">
        <v>104</v>
      </c>
      <c r="B165">
        <v>4911259.2259999998</v>
      </c>
      <c r="C165">
        <v>2403970.4169999999</v>
      </c>
      <c r="D165" t="s">
        <v>71</v>
      </c>
      <c r="E165" t="s">
        <v>75</v>
      </c>
      <c r="F165">
        <v>3075.7977599999999</v>
      </c>
      <c r="G165">
        <v>8.3000000000000007</v>
      </c>
    </row>
    <row r="166" spans="1:7" x14ac:dyDescent="0.25">
      <c r="A166" t="s">
        <v>104</v>
      </c>
      <c r="B166">
        <v>4911259.2259999998</v>
      </c>
      <c r="C166">
        <v>2403970.4169999999</v>
      </c>
      <c r="D166" t="s">
        <v>71</v>
      </c>
      <c r="E166" t="s">
        <v>75</v>
      </c>
      <c r="F166">
        <v>3092.98848</v>
      </c>
      <c r="G166">
        <v>6.9</v>
      </c>
    </row>
    <row r="167" spans="1:7" x14ac:dyDescent="0.25">
      <c r="A167" t="s">
        <v>104</v>
      </c>
      <c r="B167">
        <v>4911259.2259999998</v>
      </c>
      <c r="C167">
        <v>2403970.4169999999</v>
      </c>
      <c r="D167" t="s">
        <v>71</v>
      </c>
      <c r="E167" t="s">
        <v>75</v>
      </c>
      <c r="F167">
        <v>3104.6013600000001</v>
      </c>
      <c r="G167">
        <v>6.5</v>
      </c>
    </row>
    <row r="168" spans="1:7" x14ac:dyDescent="0.25">
      <c r="A168" t="s">
        <v>104</v>
      </c>
      <c r="B168">
        <v>4911259.2259999998</v>
      </c>
      <c r="C168">
        <v>2403970.4169999999</v>
      </c>
      <c r="D168" t="s">
        <v>71</v>
      </c>
      <c r="E168" t="s">
        <v>75</v>
      </c>
      <c r="F168">
        <v>3134.9594400000001</v>
      </c>
      <c r="G168">
        <v>5</v>
      </c>
    </row>
    <row r="169" spans="1:7" x14ac:dyDescent="0.25">
      <c r="A169" t="s">
        <v>104</v>
      </c>
      <c r="B169">
        <v>4911259.2259999998</v>
      </c>
      <c r="C169">
        <v>2403970.4169999999</v>
      </c>
      <c r="D169" t="s">
        <v>71</v>
      </c>
      <c r="E169" t="s">
        <v>75</v>
      </c>
      <c r="F169">
        <v>3145.56648</v>
      </c>
      <c r="G169">
        <v>7.5</v>
      </c>
    </row>
    <row r="170" spans="1:7" x14ac:dyDescent="0.25">
      <c r="A170" t="s">
        <v>104</v>
      </c>
      <c r="B170">
        <v>4911259.2259999998</v>
      </c>
      <c r="C170">
        <v>2403970.4169999999</v>
      </c>
      <c r="D170" t="s">
        <v>71</v>
      </c>
      <c r="E170" t="s">
        <v>75</v>
      </c>
      <c r="F170">
        <v>3165.6832800000002</v>
      </c>
      <c r="G170">
        <v>8.3000000000000007</v>
      </c>
    </row>
    <row r="171" spans="1:7" x14ac:dyDescent="0.25">
      <c r="A171" t="s">
        <v>104</v>
      </c>
      <c r="B171">
        <v>4911259.2259999998</v>
      </c>
      <c r="C171">
        <v>2403970.4169999999</v>
      </c>
      <c r="D171" t="s">
        <v>71</v>
      </c>
      <c r="E171" t="s">
        <v>75</v>
      </c>
      <c r="F171">
        <v>3165.8295800000001</v>
      </c>
      <c r="G171">
        <v>6.9</v>
      </c>
    </row>
    <row r="172" spans="1:7" x14ac:dyDescent="0.25">
      <c r="A172" t="s">
        <v>104</v>
      </c>
      <c r="B172">
        <v>4911259.2259999998</v>
      </c>
      <c r="C172">
        <v>2403970.4169999999</v>
      </c>
      <c r="D172" t="s">
        <v>71</v>
      </c>
      <c r="E172" t="s">
        <v>75</v>
      </c>
      <c r="F172">
        <v>3166.7500799999998</v>
      </c>
      <c r="G172">
        <v>11.8</v>
      </c>
    </row>
    <row r="173" spans="1:7" x14ac:dyDescent="0.25">
      <c r="A173" t="s">
        <v>104</v>
      </c>
      <c r="B173">
        <v>4911259.2259999998</v>
      </c>
      <c r="C173">
        <v>2403970.4169999999</v>
      </c>
      <c r="D173" t="s">
        <v>71</v>
      </c>
      <c r="E173" t="s">
        <v>75</v>
      </c>
      <c r="F173">
        <v>3178.8506400000001</v>
      </c>
      <c r="G173">
        <v>14</v>
      </c>
    </row>
    <row r="174" spans="1:7" x14ac:dyDescent="0.25">
      <c r="A174" t="s">
        <v>104</v>
      </c>
      <c r="B174">
        <v>4911259.2259999998</v>
      </c>
      <c r="C174">
        <v>2403970.4169999999</v>
      </c>
      <c r="D174" t="s">
        <v>71</v>
      </c>
      <c r="E174" t="s">
        <v>75</v>
      </c>
      <c r="F174">
        <v>3178.89941</v>
      </c>
      <c r="G174">
        <v>6.3</v>
      </c>
    </row>
    <row r="175" spans="1:7" x14ac:dyDescent="0.25">
      <c r="A175" t="s">
        <v>104</v>
      </c>
      <c r="B175">
        <v>4911259.2259999998</v>
      </c>
      <c r="C175">
        <v>2403970.4169999999</v>
      </c>
      <c r="D175" t="s">
        <v>71</v>
      </c>
      <c r="E175" t="s">
        <v>75</v>
      </c>
      <c r="F175">
        <v>3180.3715900000002</v>
      </c>
      <c r="G175">
        <v>9.5</v>
      </c>
    </row>
    <row r="176" spans="1:7" x14ac:dyDescent="0.25">
      <c r="A176" t="s">
        <v>104</v>
      </c>
      <c r="B176">
        <v>4911259.2259999998</v>
      </c>
      <c r="C176">
        <v>2403970.4169999999</v>
      </c>
      <c r="D176" t="s">
        <v>71</v>
      </c>
      <c r="E176" t="s">
        <v>75</v>
      </c>
      <c r="F176">
        <v>3180.4355999999998</v>
      </c>
      <c r="G176">
        <v>7.5</v>
      </c>
    </row>
    <row r="177" spans="1:7" x14ac:dyDescent="0.25">
      <c r="A177" t="s">
        <v>104</v>
      </c>
      <c r="B177">
        <v>4911259.2259999998</v>
      </c>
      <c r="C177">
        <v>2403970.4169999999</v>
      </c>
      <c r="D177" t="s">
        <v>71</v>
      </c>
      <c r="E177" t="s">
        <v>75</v>
      </c>
      <c r="F177">
        <v>3189.7624799999999</v>
      </c>
      <c r="G177">
        <v>6.8</v>
      </c>
    </row>
    <row r="178" spans="1:7" x14ac:dyDescent="0.25">
      <c r="A178" t="s">
        <v>104</v>
      </c>
      <c r="B178">
        <v>4911259.2259999998</v>
      </c>
      <c r="C178">
        <v>2403970.4169999999</v>
      </c>
      <c r="D178" t="s">
        <v>71</v>
      </c>
      <c r="E178" t="s">
        <v>75</v>
      </c>
      <c r="F178">
        <v>3191.34744</v>
      </c>
      <c r="G178">
        <v>15.3</v>
      </c>
    </row>
    <row r="179" spans="1:7" x14ac:dyDescent="0.25">
      <c r="A179" t="s">
        <v>104</v>
      </c>
      <c r="B179">
        <v>4911259.2259999998</v>
      </c>
      <c r="C179">
        <v>2403970.4169999999</v>
      </c>
      <c r="D179" t="s">
        <v>71</v>
      </c>
      <c r="E179" t="s">
        <v>75</v>
      </c>
      <c r="F179">
        <v>3191.3962099999999</v>
      </c>
      <c r="G179">
        <v>14.3</v>
      </c>
    </row>
    <row r="180" spans="1:7" x14ac:dyDescent="0.25">
      <c r="A180" t="s">
        <v>104</v>
      </c>
      <c r="B180">
        <v>4911259.2259999998</v>
      </c>
      <c r="C180">
        <v>2403970.4169999999</v>
      </c>
      <c r="D180" t="s">
        <v>71</v>
      </c>
      <c r="E180" t="s">
        <v>75</v>
      </c>
      <c r="F180">
        <v>3202.1007800000002</v>
      </c>
      <c r="G180">
        <v>11.5</v>
      </c>
    </row>
    <row r="181" spans="1:7" x14ac:dyDescent="0.25">
      <c r="A181" t="s">
        <v>104</v>
      </c>
      <c r="B181">
        <v>4911259.2259999998</v>
      </c>
      <c r="C181">
        <v>2403970.4169999999</v>
      </c>
      <c r="D181" t="s">
        <v>71</v>
      </c>
      <c r="E181" t="s">
        <v>75</v>
      </c>
      <c r="F181">
        <v>3202.1373600000002</v>
      </c>
      <c r="G181">
        <v>17</v>
      </c>
    </row>
    <row r="182" spans="1:7" x14ac:dyDescent="0.25">
      <c r="A182" t="s">
        <v>104</v>
      </c>
      <c r="B182">
        <v>4911259.2259999998</v>
      </c>
      <c r="C182">
        <v>2403970.4169999999</v>
      </c>
      <c r="D182" t="s">
        <v>71</v>
      </c>
      <c r="E182" t="s">
        <v>75</v>
      </c>
      <c r="F182">
        <v>3213.9331200000001</v>
      </c>
      <c r="G182">
        <v>6.5</v>
      </c>
    </row>
    <row r="183" spans="1:7" x14ac:dyDescent="0.25">
      <c r="A183" t="s">
        <v>104</v>
      </c>
      <c r="B183">
        <v>4911259.2259999998</v>
      </c>
      <c r="C183">
        <v>2403970.4169999999</v>
      </c>
      <c r="D183" t="s">
        <v>71</v>
      </c>
      <c r="E183" t="s">
        <v>75</v>
      </c>
      <c r="F183">
        <v>3214.0154200000002</v>
      </c>
      <c r="G183">
        <v>7.3</v>
      </c>
    </row>
    <row r="184" spans="1:7" x14ac:dyDescent="0.25">
      <c r="A184" t="s">
        <v>104</v>
      </c>
      <c r="B184">
        <v>4911259.2259999998</v>
      </c>
      <c r="C184">
        <v>2403970.4169999999</v>
      </c>
      <c r="D184" t="s">
        <v>71</v>
      </c>
      <c r="E184" t="s">
        <v>75</v>
      </c>
      <c r="F184">
        <v>3225.2716799999998</v>
      </c>
      <c r="G184">
        <v>14.5</v>
      </c>
    </row>
    <row r="185" spans="1:7" x14ac:dyDescent="0.25">
      <c r="A185" t="s">
        <v>104</v>
      </c>
      <c r="B185">
        <v>4911259.2259999998</v>
      </c>
      <c r="C185">
        <v>2403970.4169999999</v>
      </c>
      <c r="D185" t="s">
        <v>71</v>
      </c>
      <c r="E185" t="s">
        <v>75</v>
      </c>
      <c r="F185">
        <v>3236.2444799999998</v>
      </c>
      <c r="G185">
        <v>8.4</v>
      </c>
    </row>
    <row r="186" spans="1:7" x14ac:dyDescent="0.25">
      <c r="A186" t="s">
        <v>104</v>
      </c>
      <c r="B186">
        <v>4911259.2259999998</v>
      </c>
      <c r="C186">
        <v>2403970.4169999999</v>
      </c>
      <c r="D186" t="s">
        <v>71</v>
      </c>
      <c r="E186" t="s">
        <v>75</v>
      </c>
      <c r="F186">
        <v>3248.1926400000002</v>
      </c>
      <c r="G186">
        <v>8.4</v>
      </c>
    </row>
    <row r="187" spans="1:7" x14ac:dyDescent="0.25">
      <c r="A187" t="s">
        <v>104</v>
      </c>
      <c r="B187">
        <v>4911259.2259999998</v>
      </c>
      <c r="C187">
        <v>2403970.4169999999</v>
      </c>
      <c r="D187" t="s">
        <v>71</v>
      </c>
      <c r="E187" t="s">
        <v>75</v>
      </c>
      <c r="F187">
        <v>3260.2413799999999</v>
      </c>
      <c r="G187">
        <v>8</v>
      </c>
    </row>
    <row r="188" spans="1:7" x14ac:dyDescent="0.25">
      <c r="A188" t="s">
        <v>104</v>
      </c>
      <c r="B188">
        <v>4911259.2259999998</v>
      </c>
      <c r="C188">
        <v>2403970.4169999999</v>
      </c>
      <c r="D188" t="s">
        <v>71</v>
      </c>
      <c r="E188" t="s">
        <v>75</v>
      </c>
      <c r="F188">
        <v>3266.26118</v>
      </c>
      <c r="G188">
        <v>4.4000000000000004</v>
      </c>
    </row>
    <row r="189" spans="1:7" x14ac:dyDescent="0.25">
      <c r="A189" t="s">
        <v>104</v>
      </c>
      <c r="B189">
        <v>4911259.2259999998</v>
      </c>
      <c r="C189">
        <v>2403970.4169999999</v>
      </c>
      <c r="D189" t="s">
        <v>71</v>
      </c>
      <c r="E189" t="s">
        <v>75</v>
      </c>
      <c r="F189">
        <v>3266.3282399999998</v>
      </c>
      <c r="G189">
        <v>8.1999999999999993</v>
      </c>
    </row>
    <row r="190" spans="1:7" x14ac:dyDescent="0.25">
      <c r="A190" t="s">
        <v>104</v>
      </c>
      <c r="B190">
        <v>4911259.2259999998</v>
      </c>
      <c r="C190">
        <v>2403970.4169999999</v>
      </c>
      <c r="D190" t="s">
        <v>71</v>
      </c>
      <c r="E190" t="s">
        <v>75</v>
      </c>
      <c r="F190">
        <v>3266.73362</v>
      </c>
      <c r="G190">
        <v>2.6</v>
      </c>
    </row>
    <row r="191" spans="1:7" x14ac:dyDescent="0.25">
      <c r="A191" t="s">
        <v>104</v>
      </c>
      <c r="B191">
        <v>4911259.2259999998</v>
      </c>
      <c r="C191">
        <v>2403970.4169999999</v>
      </c>
      <c r="D191" t="s">
        <v>71</v>
      </c>
      <c r="E191" t="s">
        <v>75</v>
      </c>
      <c r="F191">
        <v>3271.84512</v>
      </c>
      <c r="G191">
        <v>4.2</v>
      </c>
    </row>
    <row r="192" spans="1:7" x14ac:dyDescent="0.25">
      <c r="A192" t="s">
        <v>104</v>
      </c>
      <c r="B192">
        <v>4911259.2259999998</v>
      </c>
      <c r="C192">
        <v>2403970.4169999999</v>
      </c>
      <c r="D192" t="s">
        <v>71</v>
      </c>
      <c r="E192" t="s">
        <v>75</v>
      </c>
      <c r="F192">
        <v>3271.8877900000002</v>
      </c>
      <c r="G192">
        <v>3.4</v>
      </c>
    </row>
    <row r="193" spans="1:7" x14ac:dyDescent="0.25">
      <c r="A193" t="s">
        <v>104</v>
      </c>
      <c r="B193">
        <v>4911259.2259999998</v>
      </c>
      <c r="C193">
        <v>2403970.4169999999</v>
      </c>
      <c r="D193" t="s">
        <v>71</v>
      </c>
      <c r="E193" t="s">
        <v>75</v>
      </c>
      <c r="F193">
        <v>3278.3647900000001</v>
      </c>
      <c r="G193">
        <v>2.7</v>
      </c>
    </row>
    <row r="194" spans="1:7" x14ac:dyDescent="0.25">
      <c r="A194" t="s">
        <v>104</v>
      </c>
      <c r="B194">
        <v>4911259.2259999998</v>
      </c>
      <c r="C194">
        <v>2403970.4169999999</v>
      </c>
      <c r="D194" t="s">
        <v>71</v>
      </c>
      <c r="E194" t="s">
        <v>75</v>
      </c>
      <c r="F194">
        <v>3278.3983199999998</v>
      </c>
      <c r="G194">
        <v>4.9000000000000004</v>
      </c>
    </row>
    <row r="195" spans="1:7" x14ac:dyDescent="0.25">
      <c r="A195" t="s">
        <v>104</v>
      </c>
      <c r="B195">
        <v>4911259.2259999998</v>
      </c>
      <c r="C195">
        <v>2403970.4169999999</v>
      </c>
      <c r="D195" t="s">
        <v>71</v>
      </c>
      <c r="E195" t="s">
        <v>75</v>
      </c>
      <c r="F195">
        <v>3288.7157999999999</v>
      </c>
      <c r="G195">
        <v>5.0999999999999996</v>
      </c>
    </row>
    <row r="196" spans="1:7" x14ac:dyDescent="0.25">
      <c r="A196" t="s">
        <v>104</v>
      </c>
      <c r="B196">
        <v>4911259.2259999998</v>
      </c>
      <c r="C196">
        <v>2403970.4169999999</v>
      </c>
      <c r="D196" t="s">
        <v>71</v>
      </c>
      <c r="E196" t="s">
        <v>75</v>
      </c>
      <c r="F196">
        <v>3288.76152</v>
      </c>
      <c r="G196">
        <v>9.3000000000000007</v>
      </c>
    </row>
    <row r="197" spans="1:7" x14ac:dyDescent="0.25">
      <c r="A197" t="s">
        <v>104</v>
      </c>
      <c r="B197">
        <v>4911259.2259999998</v>
      </c>
      <c r="C197">
        <v>2403970.4169999999</v>
      </c>
      <c r="D197" t="s">
        <v>71</v>
      </c>
      <c r="E197" t="s">
        <v>75</v>
      </c>
      <c r="F197">
        <v>3295.8633599999998</v>
      </c>
      <c r="G197">
        <v>3.4</v>
      </c>
    </row>
    <row r="198" spans="1:7" x14ac:dyDescent="0.25">
      <c r="A198" t="s">
        <v>104</v>
      </c>
      <c r="B198">
        <v>4911259.2259999998</v>
      </c>
      <c r="C198">
        <v>2403970.4169999999</v>
      </c>
      <c r="D198" t="s">
        <v>71</v>
      </c>
      <c r="E198" t="s">
        <v>75</v>
      </c>
      <c r="F198">
        <v>3301.8374399999998</v>
      </c>
      <c r="G198">
        <v>7.7</v>
      </c>
    </row>
    <row r="199" spans="1:7" x14ac:dyDescent="0.25">
      <c r="A199" t="s">
        <v>104</v>
      </c>
      <c r="B199">
        <v>4911259.2259999998</v>
      </c>
      <c r="C199">
        <v>2403970.4169999999</v>
      </c>
      <c r="D199" t="s">
        <v>71</v>
      </c>
      <c r="E199" t="s">
        <v>75</v>
      </c>
      <c r="F199">
        <v>3314.8524000000002</v>
      </c>
      <c r="G199">
        <v>18.100000000000001</v>
      </c>
    </row>
    <row r="200" spans="1:7" x14ac:dyDescent="0.25">
      <c r="A200" t="s">
        <v>104</v>
      </c>
      <c r="B200">
        <v>4911259.2259999998</v>
      </c>
      <c r="C200">
        <v>2403970.4169999999</v>
      </c>
      <c r="D200" t="s">
        <v>71</v>
      </c>
      <c r="E200" t="s">
        <v>75</v>
      </c>
      <c r="F200">
        <v>3320.3692799999999</v>
      </c>
      <c r="G200">
        <v>6.5</v>
      </c>
    </row>
    <row r="201" spans="1:7" x14ac:dyDescent="0.25">
      <c r="A201" t="s">
        <v>104</v>
      </c>
      <c r="B201">
        <v>4911259.2259999998</v>
      </c>
      <c r="C201">
        <v>2403970.4169999999</v>
      </c>
      <c r="D201" t="s">
        <v>71</v>
      </c>
      <c r="E201" t="s">
        <v>75</v>
      </c>
      <c r="F201">
        <v>3321.28368</v>
      </c>
      <c r="G201">
        <v>1.2</v>
      </c>
    </row>
    <row r="202" spans="1:7" x14ac:dyDescent="0.25">
      <c r="A202" t="s">
        <v>104</v>
      </c>
      <c r="B202">
        <v>4911259.2259999998</v>
      </c>
      <c r="C202">
        <v>2403970.4169999999</v>
      </c>
      <c r="D202" t="s">
        <v>71</v>
      </c>
      <c r="E202" t="s">
        <v>75</v>
      </c>
      <c r="F202">
        <v>3329.4828000000002</v>
      </c>
      <c r="G202">
        <v>5.2</v>
      </c>
    </row>
    <row r="203" spans="1:7" x14ac:dyDescent="0.25">
      <c r="A203" t="s">
        <v>104</v>
      </c>
      <c r="B203">
        <v>4911259.2259999998</v>
      </c>
      <c r="C203">
        <v>2403970.4169999999</v>
      </c>
      <c r="D203" t="s">
        <v>71</v>
      </c>
      <c r="E203" t="s">
        <v>75</v>
      </c>
      <c r="F203">
        <v>3336.1884</v>
      </c>
      <c r="G203">
        <v>2.4</v>
      </c>
    </row>
    <row r="204" spans="1:7" x14ac:dyDescent="0.25">
      <c r="A204" t="s">
        <v>104</v>
      </c>
      <c r="B204">
        <v>4911259.2259999998</v>
      </c>
      <c r="C204">
        <v>2403970.4169999999</v>
      </c>
      <c r="D204" t="s">
        <v>71</v>
      </c>
      <c r="E204" t="s">
        <v>75</v>
      </c>
      <c r="F204">
        <v>3349.7215200000001</v>
      </c>
      <c r="G204">
        <v>3</v>
      </c>
    </row>
    <row r="205" spans="1:7" x14ac:dyDescent="0.25">
      <c r="A205" t="s">
        <v>104</v>
      </c>
      <c r="B205">
        <v>4911259.2259999998</v>
      </c>
      <c r="C205">
        <v>2403970.4169999999</v>
      </c>
      <c r="D205" t="s">
        <v>71</v>
      </c>
      <c r="E205" t="s">
        <v>75</v>
      </c>
      <c r="F205">
        <v>3379.7748000000001</v>
      </c>
      <c r="G205">
        <v>10.7</v>
      </c>
    </row>
    <row r="206" spans="1:7" x14ac:dyDescent="0.25">
      <c r="A206" t="s">
        <v>104</v>
      </c>
      <c r="B206">
        <v>4911259.2259999998</v>
      </c>
      <c r="C206">
        <v>2403970.4169999999</v>
      </c>
      <c r="D206" t="s">
        <v>71</v>
      </c>
      <c r="E206" t="s">
        <v>75</v>
      </c>
      <c r="F206">
        <v>3379.8266199999998</v>
      </c>
      <c r="G206">
        <v>8</v>
      </c>
    </row>
    <row r="207" spans="1:7" x14ac:dyDescent="0.25">
      <c r="A207" t="s">
        <v>104</v>
      </c>
      <c r="B207">
        <v>4911259.2259999998</v>
      </c>
      <c r="C207">
        <v>2403970.4169999999</v>
      </c>
      <c r="D207" t="s">
        <v>71</v>
      </c>
      <c r="E207" t="s">
        <v>75</v>
      </c>
      <c r="F207">
        <v>3423.1173600000002</v>
      </c>
      <c r="G207">
        <v>5.0999999999999996</v>
      </c>
    </row>
    <row r="208" spans="1:7" x14ac:dyDescent="0.25">
      <c r="A208" t="s">
        <v>104</v>
      </c>
      <c r="B208">
        <v>4911259.2259999998</v>
      </c>
      <c r="C208">
        <v>2403970.4169999999</v>
      </c>
      <c r="D208" t="s">
        <v>71</v>
      </c>
      <c r="E208" t="s">
        <v>75</v>
      </c>
      <c r="F208">
        <v>3458.2089799999999</v>
      </c>
      <c r="G208">
        <v>2.6</v>
      </c>
    </row>
    <row r="209" spans="1:7" x14ac:dyDescent="0.25">
      <c r="A209" t="s">
        <v>104</v>
      </c>
      <c r="B209">
        <v>4911259.2259999998</v>
      </c>
      <c r="C209">
        <v>2403970.4169999999</v>
      </c>
      <c r="D209" t="s">
        <v>71</v>
      </c>
      <c r="E209" t="s">
        <v>75</v>
      </c>
      <c r="F209">
        <v>3477.9813600000002</v>
      </c>
      <c r="G209">
        <v>7.2</v>
      </c>
    </row>
    <row r="210" spans="1:7" x14ac:dyDescent="0.25">
      <c r="A210" t="s">
        <v>104</v>
      </c>
      <c r="B210">
        <v>4911259.2259999998</v>
      </c>
      <c r="C210">
        <v>2403970.4169999999</v>
      </c>
      <c r="D210" t="s">
        <v>71</v>
      </c>
      <c r="E210" t="s">
        <v>75</v>
      </c>
      <c r="F210">
        <v>3484.9308000000001</v>
      </c>
      <c r="G210">
        <v>7.5</v>
      </c>
    </row>
    <row r="211" spans="1:7" x14ac:dyDescent="0.25">
      <c r="A211" t="s">
        <v>104</v>
      </c>
      <c r="B211">
        <v>4911259.2259999998</v>
      </c>
      <c r="C211">
        <v>2403970.4169999999</v>
      </c>
      <c r="D211" t="s">
        <v>71</v>
      </c>
      <c r="E211" t="s">
        <v>75</v>
      </c>
      <c r="F211">
        <v>3485.1837799999998</v>
      </c>
      <c r="G211">
        <v>5.5</v>
      </c>
    </row>
    <row r="212" spans="1:7" x14ac:dyDescent="0.25">
      <c r="A212" t="s">
        <v>104</v>
      </c>
      <c r="B212">
        <v>4911259.2259999998</v>
      </c>
      <c r="C212">
        <v>2403970.4169999999</v>
      </c>
      <c r="D212" t="s">
        <v>71</v>
      </c>
      <c r="E212" t="s">
        <v>75</v>
      </c>
      <c r="F212">
        <v>3485.2356</v>
      </c>
      <c r="G212">
        <v>6</v>
      </c>
    </row>
    <row r="213" spans="1:7" x14ac:dyDescent="0.25">
      <c r="A213" t="s">
        <v>104</v>
      </c>
      <c r="B213">
        <v>4911259.2259999998</v>
      </c>
      <c r="C213">
        <v>2403970.4169999999</v>
      </c>
      <c r="D213" t="s">
        <v>71</v>
      </c>
      <c r="E213" t="s">
        <v>75</v>
      </c>
      <c r="F213">
        <v>3531.1080000000002</v>
      </c>
      <c r="G213">
        <v>3.1</v>
      </c>
    </row>
    <row r="214" spans="1:7" x14ac:dyDescent="0.25">
      <c r="A214" t="s">
        <v>104</v>
      </c>
      <c r="B214">
        <v>4911259.2259999998</v>
      </c>
      <c r="C214">
        <v>2403970.4169999999</v>
      </c>
      <c r="D214" t="s">
        <v>71</v>
      </c>
      <c r="E214" t="s">
        <v>75</v>
      </c>
      <c r="F214">
        <v>3552.1392000000001</v>
      </c>
      <c r="G214">
        <v>6.4</v>
      </c>
    </row>
    <row r="215" spans="1:7" x14ac:dyDescent="0.25">
      <c r="A215" t="s">
        <v>104</v>
      </c>
      <c r="B215">
        <v>4911259.2259999998</v>
      </c>
      <c r="C215">
        <v>2403970.4169999999</v>
      </c>
      <c r="D215" t="s">
        <v>71</v>
      </c>
      <c r="E215" t="s">
        <v>75</v>
      </c>
      <c r="F215">
        <v>3552.2916</v>
      </c>
      <c r="G215">
        <v>6.2</v>
      </c>
    </row>
    <row r="216" spans="1:7" x14ac:dyDescent="0.25">
      <c r="A216" t="s">
        <v>104</v>
      </c>
      <c r="B216">
        <v>4911259.2259999998</v>
      </c>
      <c r="C216">
        <v>2403970.4169999999</v>
      </c>
      <c r="D216" t="s">
        <v>71</v>
      </c>
      <c r="E216" t="s">
        <v>75</v>
      </c>
      <c r="F216">
        <v>3564.5445599999998</v>
      </c>
      <c r="G216">
        <v>8.1999999999999993</v>
      </c>
    </row>
    <row r="217" spans="1:7" x14ac:dyDescent="0.25">
      <c r="A217" t="s">
        <v>104</v>
      </c>
      <c r="B217">
        <v>4911259.2259999998</v>
      </c>
      <c r="C217">
        <v>2403970.4169999999</v>
      </c>
      <c r="D217" t="s">
        <v>71</v>
      </c>
      <c r="E217" t="s">
        <v>75</v>
      </c>
      <c r="F217">
        <v>3564.5841799999998</v>
      </c>
      <c r="G217">
        <v>4.5</v>
      </c>
    </row>
    <row r="218" spans="1:7" x14ac:dyDescent="0.25">
      <c r="A218" t="s">
        <v>104</v>
      </c>
      <c r="B218">
        <v>4911259.2259999998</v>
      </c>
      <c r="C218">
        <v>2403970.4169999999</v>
      </c>
      <c r="D218" t="s">
        <v>71</v>
      </c>
      <c r="E218" t="s">
        <v>75</v>
      </c>
      <c r="F218">
        <v>3573.7190399999999</v>
      </c>
      <c r="G218">
        <v>14.7</v>
      </c>
    </row>
    <row r="219" spans="1:7" x14ac:dyDescent="0.25">
      <c r="A219" t="s">
        <v>104</v>
      </c>
      <c r="B219">
        <v>4911259.2259999998</v>
      </c>
      <c r="C219">
        <v>2403970.4169999999</v>
      </c>
      <c r="D219" t="s">
        <v>71</v>
      </c>
      <c r="E219" t="s">
        <v>75</v>
      </c>
      <c r="F219">
        <v>3575.2796199999998</v>
      </c>
      <c r="G219">
        <v>9.9</v>
      </c>
    </row>
    <row r="220" spans="1:7" x14ac:dyDescent="0.25">
      <c r="A220" t="s">
        <v>104</v>
      </c>
      <c r="B220">
        <v>4911259.2259999998</v>
      </c>
      <c r="C220">
        <v>2403970.4169999999</v>
      </c>
      <c r="D220" t="s">
        <v>71</v>
      </c>
      <c r="E220" t="s">
        <v>75</v>
      </c>
      <c r="F220">
        <v>3584.9052000000001</v>
      </c>
      <c r="G220">
        <v>7</v>
      </c>
    </row>
    <row r="221" spans="1:7" x14ac:dyDescent="0.25">
      <c r="A221" t="s">
        <v>104</v>
      </c>
      <c r="B221">
        <v>4911259.2259999998</v>
      </c>
      <c r="C221">
        <v>2403970.4169999999</v>
      </c>
      <c r="D221" t="s">
        <v>71</v>
      </c>
      <c r="E221" t="s">
        <v>75</v>
      </c>
      <c r="F221">
        <v>3584.9570199999998</v>
      </c>
      <c r="G221">
        <v>6.2</v>
      </c>
    </row>
    <row r="222" spans="1:7" x14ac:dyDescent="0.25">
      <c r="A222" t="s">
        <v>104</v>
      </c>
      <c r="B222">
        <v>4911259.2259999998</v>
      </c>
      <c r="C222">
        <v>2403970.4169999999</v>
      </c>
      <c r="D222" t="s">
        <v>71</v>
      </c>
      <c r="E222" t="s">
        <v>75</v>
      </c>
      <c r="F222">
        <v>3585.00578</v>
      </c>
      <c r="G222">
        <v>3.3</v>
      </c>
    </row>
    <row r="223" spans="1:7" x14ac:dyDescent="0.25">
      <c r="A223" t="s">
        <v>104</v>
      </c>
      <c r="B223">
        <v>4911259.2259999998</v>
      </c>
      <c r="C223">
        <v>2403970.4169999999</v>
      </c>
      <c r="D223" t="s">
        <v>71</v>
      </c>
      <c r="E223" t="s">
        <v>75</v>
      </c>
      <c r="F223">
        <v>3590.7573600000001</v>
      </c>
      <c r="G223">
        <v>5.8</v>
      </c>
    </row>
    <row r="224" spans="1:7" x14ac:dyDescent="0.25">
      <c r="A224" t="s">
        <v>104</v>
      </c>
      <c r="B224">
        <v>4911259.2259999998</v>
      </c>
      <c r="C224">
        <v>2403970.4169999999</v>
      </c>
      <c r="D224" t="s">
        <v>71</v>
      </c>
      <c r="E224" t="s">
        <v>75</v>
      </c>
      <c r="F224">
        <v>3590.8122199999998</v>
      </c>
      <c r="G224">
        <v>10.1</v>
      </c>
    </row>
    <row r="225" spans="1:7" x14ac:dyDescent="0.25">
      <c r="A225" t="s">
        <v>104</v>
      </c>
      <c r="B225">
        <v>4911259.2259999998</v>
      </c>
      <c r="C225">
        <v>2403970.4169999999</v>
      </c>
      <c r="D225" t="s">
        <v>71</v>
      </c>
      <c r="E225" t="s">
        <v>75</v>
      </c>
      <c r="F225">
        <v>3602.2483200000001</v>
      </c>
      <c r="G225">
        <v>7.8</v>
      </c>
    </row>
    <row r="226" spans="1:7" x14ac:dyDescent="0.25">
      <c r="A226" t="s">
        <v>104</v>
      </c>
      <c r="B226">
        <v>4911259.2259999998</v>
      </c>
      <c r="C226">
        <v>2403970.4169999999</v>
      </c>
      <c r="D226" t="s">
        <v>71</v>
      </c>
      <c r="E226" t="s">
        <v>75</v>
      </c>
      <c r="F226">
        <v>3613.8307199999999</v>
      </c>
      <c r="G226">
        <v>7.2</v>
      </c>
    </row>
    <row r="227" spans="1:7" x14ac:dyDescent="0.25">
      <c r="A227" t="s">
        <v>104</v>
      </c>
      <c r="B227">
        <v>4911259.2259999998</v>
      </c>
      <c r="C227">
        <v>2403970.4169999999</v>
      </c>
      <c r="D227" t="s">
        <v>71</v>
      </c>
      <c r="E227" t="s">
        <v>75</v>
      </c>
      <c r="F227">
        <v>3613.9892199999999</v>
      </c>
      <c r="G227">
        <v>8.1999999999999993</v>
      </c>
    </row>
    <row r="228" spans="1:7" x14ac:dyDescent="0.25">
      <c r="A228" t="s">
        <v>104</v>
      </c>
      <c r="B228">
        <v>4911259.2259999998</v>
      </c>
      <c r="C228">
        <v>2403970.4169999999</v>
      </c>
      <c r="D228" t="s">
        <v>71</v>
      </c>
      <c r="E228" t="s">
        <v>75</v>
      </c>
      <c r="F228">
        <v>3619.9693900000002</v>
      </c>
      <c r="G228">
        <v>6.1</v>
      </c>
    </row>
    <row r="229" spans="1:7" x14ac:dyDescent="0.25">
      <c r="A229" t="s">
        <v>104</v>
      </c>
      <c r="B229">
        <v>4911259.2259999998</v>
      </c>
      <c r="C229">
        <v>2403970.4169999999</v>
      </c>
      <c r="D229" t="s">
        <v>71</v>
      </c>
      <c r="E229" t="s">
        <v>75</v>
      </c>
      <c r="F229">
        <v>3629.0707200000002</v>
      </c>
      <c r="G229">
        <v>4.7</v>
      </c>
    </row>
    <row r="230" spans="1:7" x14ac:dyDescent="0.25">
      <c r="A230" t="s">
        <v>104</v>
      </c>
      <c r="B230">
        <v>4911259.2259999998</v>
      </c>
      <c r="C230">
        <v>2403970.4169999999</v>
      </c>
      <c r="D230" t="s">
        <v>71</v>
      </c>
      <c r="E230" t="s">
        <v>75</v>
      </c>
      <c r="F230">
        <v>3652.1745599999999</v>
      </c>
      <c r="G230">
        <v>7.2</v>
      </c>
    </row>
    <row r="231" spans="1:7" x14ac:dyDescent="0.25">
      <c r="A231" t="s">
        <v>104</v>
      </c>
      <c r="B231">
        <v>4911259.2259999998</v>
      </c>
      <c r="C231">
        <v>2403970.4169999999</v>
      </c>
      <c r="D231" t="s">
        <v>71</v>
      </c>
      <c r="E231" t="s">
        <v>75</v>
      </c>
      <c r="F231">
        <v>3652.2660000000001</v>
      </c>
      <c r="G231">
        <v>3.1</v>
      </c>
    </row>
    <row r="232" spans="1:7" x14ac:dyDescent="0.25">
      <c r="A232" t="s">
        <v>104</v>
      </c>
      <c r="B232">
        <v>4911259.2259999998</v>
      </c>
      <c r="C232">
        <v>2403970.4169999999</v>
      </c>
      <c r="D232" t="s">
        <v>71</v>
      </c>
      <c r="E232" t="s">
        <v>75</v>
      </c>
      <c r="F232">
        <v>3659.2764000000002</v>
      </c>
      <c r="G232">
        <v>7.6</v>
      </c>
    </row>
    <row r="233" spans="1:7" x14ac:dyDescent="0.25">
      <c r="A233" t="s">
        <v>104</v>
      </c>
      <c r="B233">
        <v>4911259.2259999998</v>
      </c>
      <c r="C233">
        <v>2403970.4169999999</v>
      </c>
      <c r="D233" t="s">
        <v>71</v>
      </c>
      <c r="E233" t="s">
        <v>75</v>
      </c>
      <c r="F233">
        <v>3671.6817599999999</v>
      </c>
      <c r="G233">
        <v>10</v>
      </c>
    </row>
    <row r="234" spans="1:7" x14ac:dyDescent="0.25">
      <c r="A234" t="s">
        <v>104</v>
      </c>
      <c r="B234">
        <v>4911259.2259999998</v>
      </c>
      <c r="C234">
        <v>2403970.4169999999</v>
      </c>
      <c r="D234" t="s">
        <v>71</v>
      </c>
      <c r="E234" t="s">
        <v>75</v>
      </c>
      <c r="F234">
        <v>3673.5257999999999</v>
      </c>
      <c r="G234">
        <v>5.0999999999999996</v>
      </c>
    </row>
    <row r="235" spans="1:7" x14ac:dyDescent="0.25">
      <c r="A235" t="s">
        <v>104</v>
      </c>
      <c r="B235">
        <v>4911259.2259999998</v>
      </c>
      <c r="C235">
        <v>2403970.4169999999</v>
      </c>
      <c r="D235" t="s">
        <v>71</v>
      </c>
      <c r="E235" t="s">
        <v>75</v>
      </c>
      <c r="F235">
        <v>3673.57152</v>
      </c>
      <c r="G235">
        <v>6.8</v>
      </c>
    </row>
    <row r="236" spans="1:7" x14ac:dyDescent="0.25">
      <c r="A236" t="s">
        <v>104</v>
      </c>
      <c r="B236">
        <v>4911259.2259999998</v>
      </c>
      <c r="C236">
        <v>2403970.4169999999</v>
      </c>
      <c r="D236" t="s">
        <v>71</v>
      </c>
      <c r="E236" t="s">
        <v>75</v>
      </c>
      <c r="F236">
        <v>3690.366</v>
      </c>
      <c r="G236">
        <v>7</v>
      </c>
    </row>
    <row r="237" spans="1:7" x14ac:dyDescent="0.25">
      <c r="A237" t="s">
        <v>104</v>
      </c>
      <c r="B237">
        <v>4911259.2259999998</v>
      </c>
      <c r="C237">
        <v>2403970.4169999999</v>
      </c>
      <c r="D237" t="s">
        <v>71</v>
      </c>
      <c r="E237" t="s">
        <v>75</v>
      </c>
      <c r="F237">
        <v>3690.4178200000001</v>
      </c>
      <c r="G237">
        <v>11.6</v>
      </c>
    </row>
    <row r="238" spans="1:7" x14ac:dyDescent="0.25">
      <c r="A238" t="s">
        <v>104</v>
      </c>
      <c r="B238">
        <v>4911259.2259999998</v>
      </c>
      <c r="C238">
        <v>2403970.4169999999</v>
      </c>
      <c r="D238" t="s">
        <v>71</v>
      </c>
      <c r="E238" t="s">
        <v>75</v>
      </c>
      <c r="F238">
        <v>3699.11681</v>
      </c>
      <c r="G238">
        <v>12.1</v>
      </c>
    </row>
    <row r="239" spans="1:7" x14ac:dyDescent="0.25">
      <c r="A239" t="s">
        <v>104</v>
      </c>
      <c r="B239">
        <v>4911259.2259999998</v>
      </c>
      <c r="C239">
        <v>2403970.4169999999</v>
      </c>
      <c r="D239" t="s">
        <v>71</v>
      </c>
      <c r="E239" t="s">
        <v>75</v>
      </c>
      <c r="F239">
        <v>3699.3271199999999</v>
      </c>
      <c r="G239">
        <v>8</v>
      </c>
    </row>
    <row r="240" spans="1:7" x14ac:dyDescent="0.25">
      <c r="A240" t="s">
        <v>104</v>
      </c>
      <c r="B240">
        <v>4911259.2259999998</v>
      </c>
      <c r="C240">
        <v>2403970.4169999999</v>
      </c>
      <c r="D240" t="s">
        <v>71</v>
      </c>
      <c r="E240" t="s">
        <v>75</v>
      </c>
      <c r="F240">
        <v>3714.2623199999998</v>
      </c>
      <c r="G240">
        <v>5.7</v>
      </c>
    </row>
    <row r="241" spans="1:7" x14ac:dyDescent="0.25">
      <c r="A241" t="s">
        <v>104</v>
      </c>
      <c r="B241">
        <v>4911259.2259999998</v>
      </c>
      <c r="C241">
        <v>2403970.4169999999</v>
      </c>
      <c r="D241" t="s">
        <v>71</v>
      </c>
      <c r="E241" t="s">
        <v>75</v>
      </c>
      <c r="F241">
        <v>3725.60088</v>
      </c>
      <c r="G241">
        <v>9.4</v>
      </c>
    </row>
    <row r="242" spans="1:7" x14ac:dyDescent="0.25">
      <c r="A242" t="s">
        <v>104</v>
      </c>
      <c r="B242">
        <v>4911259.2259999998</v>
      </c>
      <c r="C242">
        <v>2403970.4169999999</v>
      </c>
      <c r="D242" t="s">
        <v>71</v>
      </c>
      <c r="E242" t="s">
        <v>75</v>
      </c>
      <c r="F242">
        <v>3725.7228</v>
      </c>
      <c r="G242">
        <v>4.5999999999999996</v>
      </c>
    </row>
    <row r="243" spans="1:7" x14ac:dyDescent="0.25">
      <c r="A243" t="s">
        <v>104</v>
      </c>
      <c r="B243">
        <v>4911259.2259999998</v>
      </c>
      <c r="C243">
        <v>2403970.4169999999</v>
      </c>
      <c r="D243" t="s">
        <v>71</v>
      </c>
      <c r="E243" t="s">
        <v>75</v>
      </c>
      <c r="F243">
        <v>3738.85968</v>
      </c>
      <c r="G243">
        <v>8.5</v>
      </c>
    </row>
    <row r="244" spans="1:7" x14ac:dyDescent="0.25">
      <c r="A244" t="s">
        <v>104</v>
      </c>
      <c r="B244">
        <v>4911259.2259999998</v>
      </c>
      <c r="C244">
        <v>2403970.4169999999</v>
      </c>
      <c r="D244" t="s">
        <v>71</v>
      </c>
      <c r="E244" t="s">
        <v>105</v>
      </c>
      <c r="F244">
        <v>4411.4222200000004</v>
      </c>
      <c r="G244">
        <v>8.3000000000000007</v>
      </c>
    </row>
    <row r="245" spans="1:7" x14ac:dyDescent="0.25">
      <c r="A245" t="s">
        <v>104</v>
      </c>
      <c r="B245">
        <v>4911259.2259999998</v>
      </c>
      <c r="C245">
        <v>2403970.4169999999</v>
      </c>
      <c r="D245" t="s">
        <v>71</v>
      </c>
      <c r="E245" t="s">
        <v>105</v>
      </c>
      <c r="F245">
        <v>4463.4973</v>
      </c>
      <c r="G245">
        <v>3.3</v>
      </c>
    </row>
    <row r="246" spans="1:7" x14ac:dyDescent="0.25">
      <c r="A246" t="s">
        <v>104</v>
      </c>
      <c r="B246">
        <v>4911259.2259999998</v>
      </c>
      <c r="C246">
        <v>2403970.4169999999</v>
      </c>
      <c r="D246" t="s">
        <v>71</v>
      </c>
      <c r="E246" t="s">
        <v>105</v>
      </c>
      <c r="F246">
        <v>4473.4002499999997</v>
      </c>
      <c r="G246">
        <v>3.5</v>
      </c>
    </row>
    <row r="247" spans="1:7" x14ac:dyDescent="0.25">
      <c r="A247" t="s">
        <v>104</v>
      </c>
      <c r="B247">
        <v>4911259.2259999998</v>
      </c>
      <c r="C247">
        <v>2403970.4169999999</v>
      </c>
      <c r="D247" t="s">
        <v>71</v>
      </c>
      <c r="E247" t="s">
        <v>105</v>
      </c>
      <c r="F247">
        <v>4493.0568000000003</v>
      </c>
      <c r="G247">
        <v>4.4000000000000004</v>
      </c>
    </row>
    <row r="248" spans="1:7" x14ac:dyDescent="0.25">
      <c r="A248" t="s">
        <v>104</v>
      </c>
      <c r="B248">
        <v>4911259.2259999998</v>
      </c>
      <c r="C248">
        <v>2403970.4169999999</v>
      </c>
      <c r="D248" t="s">
        <v>71</v>
      </c>
      <c r="E248" t="s">
        <v>105</v>
      </c>
      <c r="F248">
        <v>4514.5573899999999</v>
      </c>
      <c r="G248">
        <v>6.5</v>
      </c>
    </row>
    <row r="249" spans="1:7" x14ac:dyDescent="0.25">
      <c r="A249" t="s">
        <v>104</v>
      </c>
      <c r="B249">
        <v>4911259.2259999998</v>
      </c>
      <c r="C249">
        <v>2403970.4169999999</v>
      </c>
      <c r="D249" t="s">
        <v>71</v>
      </c>
      <c r="E249" t="s">
        <v>105</v>
      </c>
      <c r="F249">
        <v>4520.1321799999996</v>
      </c>
      <c r="G249">
        <v>8.8000000000000007</v>
      </c>
    </row>
    <row r="250" spans="1:7" x14ac:dyDescent="0.25">
      <c r="A250" t="s">
        <v>104</v>
      </c>
      <c r="B250">
        <v>4911259.2259999998</v>
      </c>
      <c r="C250">
        <v>2403970.4169999999</v>
      </c>
      <c r="D250" t="s">
        <v>71</v>
      </c>
      <c r="E250" t="s">
        <v>105</v>
      </c>
      <c r="F250">
        <v>4530.4953800000003</v>
      </c>
      <c r="G250">
        <v>7.8</v>
      </c>
    </row>
    <row r="251" spans="1:7" x14ac:dyDescent="0.25">
      <c r="A251" t="s">
        <v>104</v>
      </c>
      <c r="B251">
        <v>4911259.2259999998</v>
      </c>
      <c r="C251">
        <v>2403970.4169999999</v>
      </c>
      <c r="D251" t="s">
        <v>71</v>
      </c>
      <c r="E251" t="s">
        <v>105</v>
      </c>
      <c r="F251">
        <v>4538.6365900000001</v>
      </c>
      <c r="G251">
        <v>2.4</v>
      </c>
    </row>
    <row r="252" spans="1:7" x14ac:dyDescent="0.25">
      <c r="A252" t="s">
        <v>104</v>
      </c>
      <c r="B252">
        <v>4911259.2259999998</v>
      </c>
      <c r="C252">
        <v>2403970.4169999999</v>
      </c>
      <c r="D252" t="s">
        <v>71</v>
      </c>
      <c r="E252" t="s">
        <v>105</v>
      </c>
      <c r="F252">
        <v>4556.5832200000004</v>
      </c>
      <c r="G252">
        <v>4.2</v>
      </c>
    </row>
    <row r="253" spans="1:7" x14ac:dyDescent="0.25">
      <c r="A253" t="s">
        <v>104</v>
      </c>
      <c r="B253">
        <v>4911259.2259999998</v>
      </c>
      <c r="C253">
        <v>2403970.4169999999</v>
      </c>
      <c r="D253" t="s">
        <v>71</v>
      </c>
      <c r="E253" t="s">
        <v>105</v>
      </c>
      <c r="F253">
        <v>4599.5600199999999</v>
      </c>
      <c r="G253">
        <v>4.2</v>
      </c>
    </row>
    <row r="254" spans="1:7" x14ac:dyDescent="0.25">
      <c r="A254" t="s">
        <v>106</v>
      </c>
      <c r="B254">
        <v>4938496.8090000004</v>
      </c>
      <c r="C254">
        <v>2435363.906</v>
      </c>
      <c r="D254" t="s">
        <v>71</v>
      </c>
      <c r="E254" t="s">
        <v>95</v>
      </c>
      <c r="F254">
        <v>2383.5360000000001</v>
      </c>
      <c r="G254">
        <v>21</v>
      </c>
    </row>
    <row r="255" spans="1:7" x14ac:dyDescent="0.25">
      <c r="A255" t="s">
        <v>106</v>
      </c>
      <c r="B255">
        <v>4938496.8090000004</v>
      </c>
      <c r="C255">
        <v>2435363.906</v>
      </c>
      <c r="D255" t="s">
        <v>71</v>
      </c>
      <c r="E255" t="s">
        <v>21</v>
      </c>
      <c r="F255">
        <v>2553.31</v>
      </c>
      <c r="G255">
        <v>20</v>
      </c>
    </row>
    <row r="256" spans="1:7" x14ac:dyDescent="0.25">
      <c r="A256" t="s">
        <v>106</v>
      </c>
      <c r="B256">
        <v>4938496.8090000004</v>
      </c>
      <c r="C256">
        <v>2435363.906</v>
      </c>
      <c r="D256" t="s">
        <v>71</v>
      </c>
      <c r="E256" t="s">
        <v>73</v>
      </c>
      <c r="F256">
        <v>2596.5909999999999</v>
      </c>
      <c r="G256">
        <v>14</v>
      </c>
    </row>
    <row r="257" spans="1:7" x14ac:dyDescent="0.25">
      <c r="A257" t="s">
        <v>107</v>
      </c>
      <c r="B257">
        <v>4937141.5070000002</v>
      </c>
      <c r="C257">
        <v>2385058.9160000002</v>
      </c>
      <c r="D257" t="s">
        <v>71</v>
      </c>
      <c r="E257" t="s">
        <v>18</v>
      </c>
      <c r="F257">
        <v>3810</v>
      </c>
      <c r="G257">
        <v>20</v>
      </c>
    </row>
    <row r="258" spans="1:7" x14ac:dyDescent="0.25">
      <c r="A258" t="s">
        <v>107</v>
      </c>
      <c r="B258">
        <v>4937141.5070000002</v>
      </c>
      <c r="C258">
        <v>2385058.9160000002</v>
      </c>
      <c r="D258" t="s">
        <v>71</v>
      </c>
      <c r="E258" t="s">
        <v>18</v>
      </c>
      <c r="F258">
        <v>3962.4</v>
      </c>
      <c r="G258">
        <v>12.6</v>
      </c>
    </row>
    <row r="259" spans="1:7" x14ac:dyDescent="0.25">
      <c r="A259" t="s">
        <v>108</v>
      </c>
      <c r="B259">
        <v>4937141.5070000002</v>
      </c>
      <c r="C259">
        <v>2385058.9160000002</v>
      </c>
      <c r="D259" t="s">
        <v>71</v>
      </c>
      <c r="E259" t="s">
        <v>109</v>
      </c>
      <c r="F259">
        <v>4085.39</v>
      </c>
      <c r="G259">
        <v>7.75</v>
      </c>
    </row>
    <row r="260" spans="1:7" x14ac:dyDescent="0.25">
      <c r="A260" t="s">
        <v>108</v>
      </c>
      <c r="B260">
        <v>4937141.5070000002</v>
      </c>
      <c r="C260">
        <v>2385058.9160000002</v>
      </c>
      <c r="D260" t="s">
        <v>71</v>
      </c>
      <c r="E260" t="s">
        <v>109</v>
      </c>
      <c r="F260">
        <v>4085.4</v>
      </c>
      <c r="G260">
        <v>7.75</v>
      </c>
    </row>
    <row r="261" spans="1:7" x14ac:dyDescent="0.25">
      <c r="A261" t="s">
        <v>108</v>
      </c>
      <c r="B261">
        <v>4937141.5070000002</v>
      </c>
      <c r="C261">
        <v>2385058.9160000002</v>
      </c>
      <c r="D261" t="s">
        <v>71</v>
      </c>
      <c r="E261" t="s">
        <v>109</v>
      </c>
      <c r="F261">
        <v>4085.79</v>
      </c>
      <c r="G261">
        <v>11.1</v>
      </c>
    </row>
    <row r="262" spans="1:7" x14ac:dyDescent="0.25">
      <c r="A262" t="s">
        <v>108</v>
      </c>
      <c r="B262">
        <v>4937141.5070000002</v>
      </c>
      <c r="C262">
        <v>2385058.9160000002</v>
      </c>
      <c r="D262" t="s">
        <v>71</v>
      </c>
      <c r="E262" t="s">
        <v>109</v>
      </c>
      <c r="F262">
        <v>4085.8</v>
      </c>
      <c r="G262">
        <v>11.1</v>
      </c>
    </row>
    <row r="263" spans="1:7" x14ac:dyDescent="0.25">
      <c r="A263" t="s">
        <v>108</v>
      </c>
      <c r="B263">
        <v>4937141.5070000002</v>
      </c>
      <c r="C263">
        <v>2385058.9160000002</v>
      </c>
      <c r="D263" t="s">
        <v>71</v>
      </c>
      <c r="E263" t="s">
        <v>109</v>
      </c>
      <c r="F263">
        <v>4086</v>
      </c>
      <c r="G263">
        <v>11</v>
      </c>
    </row>
    <row r="264" spans="1:7" x14ac:dyDescent="0.25">
      <c r="A264" t="s">
        <v>108</v>
      </c>
      <c r="B264">
        <v>4937141.5070000002</v>
      </c>
      <c r="C264">
        <v>2385058.9160000002</v>
      </c>
      <c r="D264" t="s">
        <v>71</v>
      </c>
      <c r="E264" t="s">
        <v>109</v>
      </c>
      <c r="F264">
        <v>4086.2</v>
      </c>
      <c r="G264">
        <v>11.03333333</v>
      </c>
    </row>
    <row r="265" spans="1:7" x14ac:dyDescent="0.25">
      <c r="A265" t="s">
        <v>108</v>
      </c>
      <c r="B265">
        <v>4937141.5070000002</v>
      </c>
      <c r="C265">
        <v>2385058.9160000002</v>
      </c>
      <c r="D265" t="s">
        <v>71</v>
      </c>
      <c r="E265" t="s">
        <v>109</v>
      </c>
      <c r="F265">
        <v>4086.25</v>
      </c>
      <c r="G265">
        <v>12.1</v>
      </c>
    </row>
    <row r="266" spans="1:7" x14ac:dyDescent="0.25">
      <c r="A266" t="s">
        <v>108</v>
      </c>
      <c r="B266">
        <v>4937141.5070000002</v>
      </c>
      <c r="C266">
        <v>2385058.9160000002</v>
      </c>
      <c r="D266" t="s">
        <v>71</v>
      </c>
      <c r="E266" t="s">
        <v>109</v>
      </c>
      <c r="F266">
        <v>4086.99</v>
      </c>
      <c r="G266">
        <v>2.5499999999999998</v>
      </c>
    </row>
    <row r="267" spans="1:7" x14ac:dyDescent="0.25">
      <c r="A267" t="s">
        <v>108</v>
      </c>
      <c r="B267">
        <v>4937141.5070000002</v>
      </c>
      <c r="C267">
        <v>2385058.9160000002</v>
      </c>
      <c r="D267" t="s">
        <v>71</v>
      </c>
      <c r="E267" t="s">
        <v>109</v>
      </c>
      <c r="F267">
        <v>4087</v>
      </c>
      <c r="G267">
        <v>2.5499999999999998</v>
      </c>
    </row>
    <row r="268" spans="1:7" x14ac:dyDescent="0.25">
      <c r="A268" t="s">
        <v>108</v>
      </c>
      <c r="B268">
        <v>4937141.5070000002</v>
      </c>
      <c r="C268">
        <v>2385058.9160000002</v>
      </c>
      <c r="D268" t="s">
        <v>71</v>
      </c>
      <c r="E268" t="s">
        <v>109</v>
      </c>
      <c r="F268">
        <v>4088</v>
      </c>
      <c r="G268">
        <v>3.9</v>
      </c>
    </row>
    <row r="269" spans="1:7" x14ac:dyDescent="0.25">
      <c r="A269" t="s">
        <v>108</v>
      </c>
      <c r="B269">
        <v>4937141.5070000002</v>
      </c>
      <c r="C269">
        <v>2385058.9160000002</v>
      </c>
      <c r="D269" t="s">
        <v>71</v>
      </c>
      <c r="E269" t="s">
        <v>109</v>
      </c>
      <c r="F269">
        <v>4088.1</v>
      </c>
      <c r="G269">
        <v>4.45</v>
      </c>
    </row>
    <row r="270" spans="1:7" x14ac:dyDescent="0.25">
      <c r="A270" t="s">
        <v>108</v>
      </c>
      <c r="B270">
        <v>4937141.5070000002</v>
      </c>
      <c r="C270">
        <v>2385058.9160000002</v>
      </c>
      <c r="D270" t="s">
        <v>71</v>
      </c>
      <c r="E270" t="s">
        <v>109</v>
      </c>
      <c r="F270">
        <v>4088.11</v>
      </c>
      <c r="G270">
        <v>4.45</v>
      </c>
    </row>
    <row r="271" spans="1:7" x14ac:dyDescent="0.25">
      <c r="A271" t="s">
        <v>108</v>
      </c>
      <c r="B271">
        <v>4937141.5070000002</v>
      </c>
      <c r="C271">
        <v>2385058.9160000002</v>
      </c>
      <c r="D271" t="s">
        <v>71</v>
      </c>
      <c r="E271" t="s">
        <v>109</v>
      </c>
      <c r="F271">
        <v>4088.2</v>
      </c>
      <c r="G271">
        <v>5.45</v>
      </c>
    </row>
    <row r="272" spans="1:7" x14ac:dyDescent="0.25">
      <c r="A272" t="s">
        <v>108</v>
      </c>
      <c r="B272">
        <v>4937141.5070000002</v>
      </c>
      <c r="C272">
        <v>2385058.9160000002</v>
      </c>
      <c r="D272" t="s">
        <v>71</v>
      </c>
      <c r="E272" t="s">
        <v>109</v>
      </c>
      <c r="F272">
        <v>4088.23</v>
      </c>
      <c r="G272">
        <v>5.45</v>
      </c>
    </row>
    <row r="273" spans="1:7" x14ac:dyDescent="0.25">
      <c r="A273" t="s">
        <v>108</v>
      </c>
      <c r="B273">
        <v>4937141.5070000002</v>
      </c>
      <c r="C273">
        <v>2385058.9160000002</v>
      </c>
      <c r="D273" t="s">
        <v>71</v>
      </c>
      <c r="E273" t="s">
        <v>109</v>
      </c>
      <c r="F273">
        <v>4089.6</v>
      </c>
      <c r="G273">
        <v>6.9</v>
      </c>
    </row>
    <row r="274" spans="1:7" x14ac:dyDescent="0.25">
      <c r="A274" t="s">
        <v>108</v>
      </c>
      <c r="B274">
        <v>4937141.5070000002</v>
      </c>
      <c r="C274">
        <v>2385058.9160000002</v>
      </c>
      <c r="D274" t="s">
        <v>71</v>
      </c>
      <c r="E274" t="s">
        <v>109</v>
      </c>
      <c r="F274">
        <v>4089.63</v>
      </c>
      <c r="G274">
        <v>6.9</v>
      </c>
    </row>
    <row r="275" spans="1:7" x14ac:dyDescent="0.25">
      <c r="A275" t="s">
        <v>108</v>
      </c>
      <c r="B275">
        <v>4937141.5070000002</v>
      </c>
      <c r="C275">
        <v>2385058.9160000002</v>
      </c>
      <c r="D275" t="s">
        <v>71</v>
      </c>
      <c r="E275" t="s">
        <v>109</v>
      </c>
      <c r="F275">
        <v>4089.75</v>
      </c>
      <c r="G275">
        <v>8.25</v>
      </c>
    </row>
    <row r="276" spans="1:7" x14ac:dyDescent="0.25">
      <c r="A276" t="s">
        <v>108</v>
      </c>
      <c r="B276">
        <v>4937141.5070000002</v>
      </c>
      <c r="C276">
        <v>2385058.9160000002</v>
      </c>
      <c r="D276" t="s">
        <v>71</v>
      </c>
      <c r="E276" t="s">
        <v>109</v>
      </c>
      <c r="F276">
        <v>4089.8</v>
      </c>
      <c r="G276">
        <v>8.25</v>
      </c>
    </row>
    <row r="277" spans="1:7" x14ac:dyDescent="0.25">
      <c r="A277" t="s">
        <v>108</v>
      </c>
      <c r="B277">
        <v>4937141.5070000002</v>
      </c>
      <c r="C277">
        <v>2385058.9160000002</v>
      </c>
      <c r="D277" t="s">
        <v>71</v>
      </c>
      <c r="E277" t="s">
        <v>109</v>
      </c>
      <c r="F277">
        <v>4090.26</v>
      </c>
      <c r="G277">
        <v>9.6999999999999993</v>
      </c>
    </row>
    <row r="278" spans="1:7" x14ac:dyDescent="0.25">
      <c r="A278" t="s">
        <v>108</v>
      </c>
      <c r="B278">
        <v>4937141.5070000002</v>
      </c>
      <c r="C278">
        <v>2385058.9160000002</v>
      </c>
      <c r="D278" t="s">
        <v>71</v>
      </c>
      <c r="E278" t="s">
        <v>109</v>
      </c>
      <c r="F278">
        <v>4090.3</v>
      </c>
      <c r="G278">
        <v>9.6999999999999993</v>
      </c>
    </row>
    <row r="279" spans="1:7" x14ac:dyDescent="0.25">
      <c r="A279" t="s">
        <v>108</v>
      </c>
      <c r="B279">
        <v>4937141.5070000002</v>
      </c>
      <c r="C279">
        <v>2385058.9160000002</v>
      </c>
      <c r="D279" t="s">
        <v>71</v>
      </c>
      <c r="E279" t="s">
        <v>109</v>
      </c>
      <c r="F279">
        <v>4090.8</v>
      </c>
      <c r="G279">
        <v>8.5500000000000007</v>
      </c>
    </row>
    <row r="280" spans="1:7" x14ac:dyDescent="0.25">
      <c r="A280" t="s">
        <v>108</v>
      </c>
      <c r="B280">
        <v>4937141.5070000002</v>
      </c>
      <c r="C280">
        <v>2385058.9160000002</v>
      </c>
      <c r="D280" t="s">
        <v>71</v>
      </c>
      <c r="E280" t="s">
        <v>109</v>
      </c>
      <c r="F280">
        <v>4090.85</v>
      </c>
      <c r="G280">
        <v>8.5500000000000007</v>
      </c>
    </row>
    <row r="281" spans="1:7" x14ac:dyDescent="0.25">
      <c r="A281" t="s">
        <v>108</v>
      </c>
      <c r="B281">
        <v>4937141.5070000002</v>
      </c>
      <c r="C281">
        <v>2385058.9160000002</v>
      </c>
      <c r="D281" t="s">
        <v>71</v>
      </c>
      <c r="E281" t="s">
        <v>109</v>
      </c>
      <c r="F281">
        <v>4091</v>
      </c>
      <c r="G281">
        <v>7.05</v>
      </c>
    </row>
    <row r="282" spans="1:7" x14ac:dyDescent="0.25">
      <c r="A282" t="s">
        <v>108</v>
      </c>
      <c r="B282">
        <v>4937141.5070000002</v>
      </c>
      <c r="C282">
        <v>2385058.9160000002</v>
      </c>
      <c r="D282" t="s">
        <v>71</v>
      </c>
      <c r="E282" t="s">
        <v>109</v>
      </c>
      <c r="F282">
        <v>4091.7</v>
      </c>
      <c r="G282">
        <v>2.8</v>
      </c>
    </row>
    <row r="283" spans="1:7" x14ac:dyDescent="0.25">
      <c r="A283" t="s">
        <v>108</v>
      </c>
      <c r="B283">
        <v>4937141.5070000002</v>
      </c>
      <c r="C283">
        <v>2385058.9160000002</v>
      </c>
      <c r="D283" t="s">
        <v>71</v>
      </c>
      <c r="E283" t="s">
        <v>109</v>
      </c>
      <c r="F283">
        <v>4091.71</v>
      </c>
      <c r="G283">
        <v>2.8</v>
      </c>
    </row>
    <row r="284" spans="1:7" x14ac:dyDescent="0.25">
      <c r="A284" t="s">
        <v>108</v>
      </c>
      <c r="B284">
        <v>4937141.5070000002</v>
      </c>
      <c r="C284">
        <v>2385058.9160000002</v>
      </c>
      <c r="D284" t="s">
        <v>71</v>
      </c>
      <c r="E284" t="s">
        <v>109</v>
      </c>
      <c r="F284">
        <v>4091.86</v>
      </c>
      <c r="G284">
        <v>2.4</v>
      </c>
    </row>
    <row r="285" spans="1:7" x14ac:dyDescent="0.25">
      <c r="A285" t="s">
        <v>108</v>
      </c>
      <c r="B285">
        <v>4937141.5070000002</v>
      </c>
      <c r="C285">
        <v>2385058.9160000002</v>
      </c>
      <c r="D285" t="s">
        <v>71</v>
      </c>
      <c r="E285" t="s">
        <v>109</v>
      </c>
      <c r="F285">
        <v>4091.9</v>
      </c>
      <c r="G285">
        <v>2.4</v>
      </c>
    </row>
    <row r="286" spans="1:7" x14ac:dyDescent="0.25">
      <c r="A286" t="s">
        <v>108</v>
      </c>
      <c r="B286">
        <v>4937141.5070000002</v>
      </c>
      <c r="C286">
        <v>2385058.9160000002</v>
      </c>
      <c r="D286" t="s">
        <v>71</v>
      </c>
      <c r="E286" t="s">
        <v>109</v>
      </c>
      <c r="F286">
        <v>4092.7</v>
      </c>
      <c r="G286">
        <v>3.4</v>
      </c>
    </row>
    <row r="287" spans="1:7" x14ac:dyDescent="0.25">
      <c r="A287" t="s">
        <v>108</v>
      </c>
      <c r="B287">
        <v>4937141.5070000002</v>
      </c>
      <c r="C287">
        <v>2385058.9160000002</v>
      </c>
      <c r="D287" t="s">
        <v>71</v>
      </c>
      <c r="E287" t="s">
        <v>109</v>
      </c>
      <c r="F287">
        <v>4092.85</v>
      </c>
      <c r="G287">
        <v>3.05</v>
      </c>
    </row>
    <row r="288" spans="1:7" x14ac:dyDescent="0.25">
      <c r="A288" t="s">
        <v>108</v>
      </c>
      <c r="B288">
        <v>4937141.5070000002</v>
      </c>
      <c r="C288">
        <v>2385058.9160000002</v>
      </c>
      <c r="D288" t="s">
        <v>71</v>
      </c>
      <c r="E288" t="s">
        <v>109</v>
      </c>
      <c r="F288">
        <v>4092.9</v>
      </c>
      <c r="G288">
        <v>3.05</v>
      </c>
    </row>
    <row r="289" spans="1:7" x14ac:dyDescent="0.25">
      <c r="A289" t="s">
        <v>108</v>
      </c>
      <c r="B289">
        <v>4937141.5070000002</v>
      </c>
      <c r="C289">
        <v>2385058.9160000002</v>
      </c>
      <c r="D289" t="s">
        <v>71</v>
      </c>
      <c r="E289" t="s">
        <v>109</v>
      </c>
      <c r="F289">
        <v>4093</v>
      </c>
      <c r="G289">
        <v>3.25</v>
      </c>
    </row>
    <row r="290" spans="1:7" x14ac:dyDescent="0.25">
      <c r="A290" t="s">
        <v>108</v>
      </c>
      <c r="B290">
        <v>4937141.5070000002</v>
      </c>
      <c r="C290">
        <v>2385058.9160000002</v>
      </c>
      <c r="D290" t="s">
        <v>71</v>
      </c>
      <c r="E290" t="s">
        <v>109</v>
      </c>
      <c r="F290">
        <v>4093.01</v>
      </c>
      <c r="G290">
        <v>3.25</v>
      </c>
    </row>
    <row r="291" spans="1:7" x14ac:dyDescent="0.25">
      <c r="A291" t="s">
        <v>108</v>
      </c>
      <c r="B291">
        <v>4937141.5070000002</v>
      </c>
      <c r="C291">
        <v>2385058.9160000002</v>
      </c>
      <c r="D291" t="s">
        <v>71</v>
      </c>
      <c r="E291" t="s">
        <v>109</v>
      </c>
      <c r="F291">
        <v>4093.1</v>
      </c>
      <c r="G291">
        <v>2.75</v>
      </c>
    </row>
    <row r="292" spans="1:7" x14ac:dyDescent="0.25">
      <c r="A292" t="s">
        <v>108</v>
      </c>
      <c r="B292">
        <v>4937141.5070000002</v>
      </c>
      <c r="C292">
        <v>2385058.9160000002</v>
      </c>
      <c r="D292" t="s">
        <v>71</v>
      </c>
      <c r="E292" t="s">
        <v>109</v>
      </c>
      <c r="F292">
        <v>4093.15</v>
      </c>
      <c r="G292">
        <v>2.75</v>
      </c>
    </row>
    <row r="293" spans="1:7" x14ac:dyDescent="0.25">
      <c r="A293" t="s">
        <v>108</v>
      </c>
      <c r="B293">
        <v>4937141.5070000002</v>
      </c>
      <c r="C293">
        <v>2385058.9160000002</v>
      </c>
      <c r="D293" t="s">
        <v>71</v>
      </c>
      <c r="E293" t="s">
        <v>109</v>
      </c>
      <c r="F293">
        <v>4093.29</v>
      </c>
      <c r="G293">
        <v>8.9</v>
      </c>
    </row>
    <row r="294" spans="1:7" x14ac:dyDescent="0.25">
      <c r="A294" t="s">
        <v>108</v>
      </c>
      <c r="B294">
        <v>4937141.5070000002</v>
      </c>
      <c r="C294">
        <v>2385058.9160000002</v>
      </c>
      <c r="D294" t="s">
        <v>71</v>
      </c>
      <c r="E294" t="s">
        <v>109</v>
      </c>
      <c r="F294">
        <v>4093.3</v>
      </c>
      <c r="G294">
        <v>8.9</v>
      </c>
    </row>
    <row r="295" spans="1:7" x14ac:dyDescent="0.25">
      <c r="A295" t="s">
        <v>108</v>
      </c>
      <c r="B295">
        <v>4937141.5070000002</v>
      </c>
      <c r="C295">
        <v>2385058.9160000002</v>
      </c>
      <c r="D295" t="s">
        <v>71</v>
      </c>
      <c r="E295" t="s">
        <v>109</v>
      </c>
      <c r="F295">
        <v>4094.6</v>
      </c>
      <c r="G295">
        <v>10.25</v>
      </c>
    </row>
    <row r="296" spans="1:7" x14ac:dyDescent="0.25">
      <c r="A296" t="s">
        <v>108</v>
      </c>
      <c r="B296">
        <v>4937141.5070000002</v>
      </c>
      <c r="C296">
        <v>2385058.9160000002</v>
      </c>
      <c r="D296" t="s">
        <v>71</v>
      </c>
      <c r="E296" t="s">
        <v>109</v>
      </c>
      <c r="F296">
        <v>4094.61</v>
      </c>
      <c r="G296">
        <v>10.25</v>
      </c>
    </row>
    <row r="297" spans="1:7" x14ac:dyDescent="0.25">
      <c r="A297" t="s">
        <v>108</v>
      </c>
      <c r="B297">
        <v>4937141.5070000002</v>
      </c>
      <c r="C297">
        <v>2385058.9160000002</v>
      </c>
      <c r="D297" t="s">
        <v>71</v>
      </c>
      <c r="E297" t="s">
        <v>109</v>
      </c>
      <c r="F297">
        <v>4095.06</v>
      </c>
      <c r="G297">
        <v>2.25</v>
      </c>
    </row>
    <row r="298" spans="1:7" x14ac:dyDescent="0.25">
      <c r="A298" t="s">
        <v>108</v>
      </c>
      <c r="B298">
        <v>4937141.5070000002</v>
      </c>
      <c r="C298">
        <v>2385058.9160000002</v>
      </c>
      <c r="D298" t="s">
        <v>71</v>
      </c>
      <c r="E298" t="s">
        <v>109</v>
      </c>
      <c r="F298">
        <v>4095.1</v>
      </c>
      <c r="G298">
        <v>2.25</v>
      </c>
    </row>
    <row r="299" spans="1:7" x14ac:dyDescent="0.25">
      <c r="A299" t="s">
        <v>108</v>
      </c>
      <c r="B299">
        <v>4937141.5070000002</v>
      </c>
      <c r="C299">
        <v>2385058.9160000002</v>
      </c>
      <c r="D299" t="s">
        <v>71</v>
      </c>
      <c r="E299" t="s">
        <v>109</v>
      </c>
      <c r="F299">
        <v>4095.5</v>
      </c>
      <c r="G299">
        <v>2.2999999999999998</v>
      </c>
    </row>
    <row r="300" spans="1:7" x14ac:dyDescent="0.25">
      <c r="A300" t="s">
        <v>108</v>
      </c>
      <c r="B300">
        <v>4937141.5070000002</v>
      </c>
      <c r="C300">
        <v>2385058.9160000002</v>
      </c>
      <c r="D300" t="s">
        <v>71</v>
      </c>
      <c r="E300" t="s">
        <v>109</v>
      </c>
      <c r="F300">
        <v>4095.55</v>
      </c>
      <c r="G300">
        <v>2.2999999999999998</v>
      </c>
    </row>
    <row r="301" spans="1:7" x14ac:dyDescent="0.25">
      <c r="A301" t="s">
        <v>108</v>
      </c>
      <c r="B301">
        <v>4937141.5070000002</v>
      </c>
      <c r="C301">
        <v>2385058.9160000002</v>
      </c>
      <c r="D301" t="s">
        <v>71</v>
      </c>
      <c r="E301" t="s">
        <v>109</v>
      </c>
      <c r="F301">
        <v>4096.6000000000004</v>
      </c>
      <c r="G301">
        <v>3.75</v>
      </c>
    </row>
    <row r="302" spans="1:7" x14ac:dyDescent="0.25">
      <c r="A302" t="s">
        <v>108</v>
      </c>
      <c r="B302">
        <v>4937141.5070000002</v>
      </c>
      <c r="C302">
        <v>2385058.9160000002</v>
      </c>
      <c r="D302" t="s">
        <v>71</v>
      </c>
      <c r="E302" t="s">
        <v>109</v>
      </c>
      <c r="F302">
        <v>4096.63</v>
      </c>
      <c r="G302">
        <v>3.75</v>
      </c>
    </row>
    <row r="303" spans="1:7" x14ac:dyDescent="0.25">
      <c r="A303" t="s">
        <v>110</v>
      </c>
      <c r="B303">
        <v>4924885.0209999997</v>
      </c>
      <c r="C303">
        <v>2481396.8790000002</v>
      </c>
      <c r="D303" t="s">
        <v>111</v>
      </c>
      <c r="E303" t="s">
        <v>20</v>
      </c>
      <c r="F303">
        <v>833.58732090000001</v>
      </c>
      <c r="G303">
        <v>8.3000000000000007</v>
      </c>
    </row>
    <row r="304" spans="1:7" x14ac:dyDescent="0.25">
      <c r="A304" t="s">
        <v>110</v>
      </c>
      <c r="B304">
        <v>4924885.0209999997</v>
      </c>
      <c r="C304">
        <v>2481396.8790000002</v>
      </c>
      <c r="D304" t="s">
        <v>111</v>
      </c>
      <c r="E304" t="s">
        <v>20</v>
      </c>
      <c r="F304">
        <v>833.63</v>
      </c>
      <c r="G304">
        <v>8.3000000000000007</v>
      </c>
    </row>
    <row r="305" spans="1:7" x14ac:dyDescent="0.25">
      <c r="A305" t="s">
        <v>110</v>
      </c>
      <c r="B305">
        <v>4924885.0209999997</v>
      </c>
      <c r="C305">
        <v>2481396.8790000002</v>
      </c>
      <c r="D305" t="s">
        <v>111</v>
      </c>
      <c r="E305" t="s">
        <v>20</v>
      </c>
      <c r="F305">
        <v>840.5973788</v>
      </c>
      <c r="G305">
        <v>6.8</v>
      </c>
    </row>
    <row r="306" spans="1:7" x14ac:dyDescent="0.25">
      <c r="A306" t="s">
        <v>110</v>
      </c>
      <c r="B306">
        <v>4924885.0209999997</v>
      </c>
      <c r="C306">
        <v>2481396.8790000002</v>
      </c>
      <c r="D306" t="s">
        <v>111</v>
      </c>
      <c r="E306" t="s">
        <v>20</v>
      </c>
      <c r="F306">
        <v>840.64</v>
      </c>
      <c r="G306">
        <v>6.8</v>
      </c>
    </row>
    <row r="307" spans="1:7" x14ac:dyDescent="0.25">
      <c r="A307" t="s">
        <v>110</v>
      </c>
      <c r="B307">
        <v>4924885.0209999997</v>
      </c>
      <c r="C307">
        <v>2481396.8790000002</v>
      </c>
      <c r="D307" t="s">
        <v>111</v>
      </c>
      <c r="E307" t="s">
        <v>20</v>
      </c>
      <c r="F307">
        <v>847.30265159999999</v>
      </c>
      <c r="G307">
        <v>7.4</v>
      </c>
    </row>
    <row r="308" spans="1:7" x14ac:dyDescent="0.25">
      <c r="A308" t="s">
        <v>110</v>
      </c>
      <c r="B308">
        <v>4924885.0209999997</v>
      </c>
      <c r="C308">
        <v>2481396.8790000002</v>
      </c>
      <c r="D308" t="s">
        <v>111</v>
      </c>
      <c r="E308" t="s">
        <v>20</v>
      </c>
      <c r="F308">
        <v>847.34</v>
      </c>
      <c r="G308">
        <v>7.4</v>
      </c>
    </row>
    <row r="309" spans="1:7" x14ac:dyDescent="0.25">
      <c r="A309" t="s">
        <v>110</v>
      </c>
      <c r="B309">
        <v>4924885.0209999997</v>
      </c>
      <c r="C309">
        <v>2481396.8790000002</v>
      </c>
      <c r="D309" t="s">
        <v>111</v>
      </c>
      <c r="E309" t="s">
        <v>20</v>
      </c>
      <c r="F309">
        <v>853.39835419999997</v>
      </c>
      <c r="G309">
        <v>7.4</v>
      </c>
    </row>
    <row r="310" spans="1:7" x14ac:dyDescent="0.25">
      <c r="A310" t="s">
        <v>110</v>
      </c>
      <c r="B310">
        <v>4924885.0209999997</v>
      </c>
      <c r="C310">
        <v>2481396.8790000002</v>
      </c>
      <c r="D310" t="s">
        <v>111</v>
      </c>
      <c r="E310" t="s">
        <v>20</v>
      </c>
      <c r="F310">
        <v>853.44</v>
      </c>
      <c r="G310">
        <v>7.4</v>
      </c>
    </row>
    <row r="311" spans="1:7" x14ac:dyDescent="0.25">
      <c r="A311" t="s">
        <v>110</v>
      </c>
      <c r="B311">
        <v>4924885.0209999997</v>
      </c>
      <c r="C311">
        <v>2481396.8790000002</v>
      </c>
      <c r="D311" t="s">
        <v>111</v>
      </c>
      <c r="E311" t="s">
        <v>20</v>
      </c>
      <c r="F311">
        <v>860.10362689999999</v>
      </c>
      <c r="G311">
        <v>7.3</v>
      </c>
    </row>
    <row r="312" spans="1:7" x14ac:dyDescent="0.25">
      <c r="A312" t="s">
        <v>110</v>
      </c>
      <c r="B312">
        <v>4924885.0209999997</v>
      </c>
      <c r="C312">
        <v>2481396.8790000002</v>
      </c>
      <c r="D312" t="s">
        <v>111</v>
      </c>
      <c r="E312" t="s">
        <v>20</v>
      </c>
      <c r="F312">
        <v>860.15</v>
      </c>
      <c r="G312">
        <v>7.3</v>
      </c>
    </row>
    <row r="313" spans="1:7" x14ac:dyDescent="0.25">
      <c r="A313" t="s">
        <v>110</v>
      </c>
      <c r="B313">
        <v>4924885.0209999997</v>
      </c>
      <c r="C313">
        <v>2481396.8790000002</v>
      </c>
      <c r="D313" t="s">
        <v>111</v>
      </c>
      <c r="E313" t="s">
        <v>20</v>
      </c>
      <c r="F313">
        <v>871.68546170000002</v>
      </c>
      <c r="G313">
        <v>6.1</v>
      </c>
    </row>
    <row r="314" spans="1:7" x14ac:dyDescent="0.25">
      <c r="A314" t="s">
        <v>110</v>
      </c>
      <c r="B314">
        <v>4924885.0209999997</v>
      </c>
      <c r="C314">
        <v>2481396.8790000002</v>
      </c>
      <c r="D314" t="s">
        <v>111</v>
      </c>
      <c r="E314" t="s">
        <v>20</v>
      </c>
      <c r="F314">
        <v>871.73</v>
      </c>
      <c r="G314">
        <v>6.1</v>
      </c>
    </row>
    <row r="315" spans="1:7" x14ac:dyDescent="0.25">
      <c r="A315" t="s">
        <v>110</v>
      </c>
      <c r="B315">
        <v>4924885.0209999997</v>
      </c>
      <c r="C315">
        <v>2481396.8790000002</v>
      </c>
      <c r="D315" t="s">
        <v>111</v>
      </c>
      <c r="E315" t="s">
        <v>20</v>
      </c>
      <c r="F315">
        <v>880.82901549999997</v>
      </c>
      <c r="G315">
        <v>4.7</v>
      </c>
    </row>
    <row r="316" spans="1:7" x14ac:dyDescent="0.25">
      <c r="A316" t="s">
        <v>110</v>
      </c>
      <c r="B316">
        <v>4924885.0209999997</v>
      </c>
      <c r="C316">
        <v>2481396.8790000002</v>
      </c>
      <c r="D316" t="s">
        <v>111</v>
      </c>
      <c r="E316" t="s">
        <v>20</v>
      </c>
      <c r="F316">
        <v>880.87</v>
      </c>
      <c r="G316">
        <v>4.7</v>
      </c>
    </row>
    <row r="317" spans="1:7" x14ac:dyDescent="0.25">
      <c r="A317" t="s">
        <v>110</v>
      </c>
      <c r="B317">
        <v>4924885.0209999997</v>
      </c>
      <c r="C317">
        <v>2481396.8790000002</v>
      </c>
      <c r="D317" t="s">
        <v>111</v>
      </c>
      <c r="E317" t="s">
        <v>20</v>
      </c>
      <c r="F317">
        <v>883.87686680000002</v>
      </c>
      <c r="G317">
        <v>8.4</v>
      </c>
    </row>
    <row r="318" spans="1:7" x14ac:dyDescent="0.25">
      <c r="A318" t="s">
        <v>110</v>
      </c>
      <c r="B318">
        <v>4924885.0209999997</v>
      </c>
      <c r="C318">
        <v>2481396.8790000002</v>
      </c>
      <c r="D318" t="s">
        <v>111</v>
      </c>
      <c r="E318" t="s">
        <v>20</v>
      </c>
      <c r="F318">
        <v>883.92</v>
      </c>
      <c r="G318">
        <v>8.4</v>
      </c>
    </row>
    <row r="319" spans="1:7" x14ac:dyDescent="0.25">
      <c r="A319" t="s">
        <v>110</v>
      </c>
      <c r="B319">
        <v>4924885.0209999997</v>
      </c>
      <c r="C319">
        <v>2481396.8790000002</v>
      </c>
      <c r="D319" t="s">
        <v>111</v>
      </c>
      <c r="E319" t="s">
        <v>20</v>
      </c>
      <c r="F319">
        <v>888.44864370000005</v>
      </c>
      <c r="G319">
        <v>10.199999999999999</v>
      </c>
    </row>
    <row r="320" spans="1:7" x14ac:dyDescent="0.25">
      <c r="A320" t="s">
        <v>110</v>
      </c>
      <c r="B320">
        <v>4924885.0209999997</v>
      </c>
      <c r="C320">
        <v>2481396.8790000002</v>
      </c>
      <c r="D320" t="s">
        <v>111</v>
      </c>
      <c r="E320" t="s">
        <v>20</v>
      </c>
      <c r="F320">
        <v>888.49</v>
      </c>
      <c r="G320">
        <v>10.199999999999999</v>
      </c>
    </row>
    <row r="321" spans="1:7" x14ac:dyDescent="0.25">
      <c r="A321" t="s">
        <v>110</v>
      </c>
      <c r="B321">
        <v>4924885.0209999997</v>
      </c>
      <c r="C321">
        <v>2481396.8790000002</v>
      </c>
      <c r="D321" t="s">
        <v>111</v>
      </c>
      <c r="E321" t="s">
        <v>20</v>
      </c>
      <c r="F321">
        <v>897.5921975</v>
      </c>
      <c r="G321">
        <v>5.6</v>
      </c>
    </row>
    <row r="322" spans="1:7" x14ac:dyDescent="0.25">
      <c r="A322" t="s">
        <v>110</v>
      </c>
      <c r="B322">
        <v>4924885.0209999997</v>
      </c>
      <c r="C322">
        <v>2481396.8790000002</v>
      </c>
      <c r="D322" t="s">
        <v>111</v>
      </c>
      <c r="E322" t="s">
        <v>20</v>
      </c>
      <c r="F322">
        <v>897.64</v>
      </c>
      <c r="G322">
        <v>5.6</v>
      </c>
    </row>
    <row r="323" spans="1:7" x14ac:dyDescent="0.25">
      <c r="A323" t="s">
        <v>110</v>
      </c>
      <c r="B323">
        <v>4924885.0209999997</v>
      </c>
      <c r="C323">
        <v>2481396.8790000002</v>
      </c>
      <c r="D323" t="s">
        <v>111</v>
      </c>
      <c r="E323" t="s">
        <v>20</v>
      </c>
      <c r="F323">
        <v>905.51661079999997</v>
      </c>
      <c r="G323">
        <v>12</v>
      </c>
    </row>
    <row r="324" spans="1:7" x14ac:dyDescent="0.25">
      <c r="A324" t="s">
        <v>110</v>
      </c>
      <c r="B324">
        <v>4924885.0209999997</v>
      </c>
      <c r="C324">
        <v>2481396.8790000002</v>
      </c>
      <c r="D324" t="s">
        <v>111</v>
      </c>
      <c r="E324" t="s">
        <v>20</v>
      </c>
      <c r="F324">
        <v>905.56</v>
      </c>
      <c r="G324">
        <v>12</v>
      </c>
    </row>
    <row r="325" spans="1:7" x14ac:dyDescent="0.25">
      <c r="A325" t="s">
        <v>110</v>
      </c>
      <c r="B325">
        <v>4924885.0209999997</v>
      </c>
      <c r="C325">
        <v>2481396.8790000002</v>
      </c>
      <c r="D325" t="s">
        <v>111</v>
      </c>
      <c r="E325" t="s">
        <v>20</v>
      </c>
      <c r="F325">
        <v>911.30752819999998</v>
      </c>
      <c r="G325">
        <v>8.6999999999999993</v>
      </c>
    </row>
    <row r="326" spans="1:7" x14ac:dyDescent="0.25">
      <c r="A326" t="s">
        <v>110</v>
      </c>
      <c r="B326">
        <v>4924885.0209999997</v>
      </c>
      <c r="C326">
        <v>2481396.8790000002</v>
      </c>
      <c r="D326" t="s">
        <v>111</v>
      </c>
      <c r="E326" t="s">
        <v>20</v>
      </c>
      <c r="F326">
        <v>911.35</v>
      </c>
      <c r="G326">
        <v>8.6999999999999993</v>
      </c>
    </row>
    <row r="327" spans="1:7" x14ac:dyDescent="0.25">
      <c r="A327" t="s">
        <v>110</v>
      </c>
      <c r="B327">
        <v>4924885.0209999997</v>
      </c>
      <c r="C327">
        <v>2481396.8790000002</v>
      </c>
      <c r="D327" t="s">
        <v>111</v>
      </c>
      <c r="E327" t="s">
        <v>20</v>
      </c>
      <c r="F327">
        <v>914.35537950000003</v>
      </c>
      <c r="G327">
        <v>9.4</v>
      </c>
    </row>
    <row r="328" spans="1:7" x14ac:dyDescent="0.25">
      <c r="A328" t="s">
        <v>110</v>
      </c>
      <c r="B328">
        <v>4924885.0209999997</v>
      </c>
      <c r="C328">
        <v>2481396.8790000002</v>
      </c>
      <c r="D328" t="s">
        <v>111</v>
      </c>
      <c r="E328" t="s">
        <v>20</v>
      </c>
      <c r="F328">
        <v>914.4</v>
      </c>
      <c r="G328">
        <v>9.4</v>
      </c>
    </row>
    <row r="329" spans="1:7" x14ac:dyDescent="0.25">
      <c r="A329" t="s">
        <v>110</v>
      </c>
      <c r="B329">
        <v>4924885.0209999997</v>
      </c>
      <c r="C329">
        <v>2481396.8790000002</v>
      </c>
      <c r="D329" t="s">
        <v>111</v>
      </c>
      <c r="E329" t="s">
        <v>20</v>
      </c>
      <c r="F329">
        <v>920.45108200000004</v>
      </c>
      <c r="G329">
        <v>14.3</v>
      </c>
    </row>
    <row r="330" spans="1:7" x14ac:dyDescent="0.25">
      <c r="A330" t="s">
        <v>110</v>
      </c>
      <c r="B330">
        <v>4924885.0209999997</v>
      </c>
      <c r="C330">
        <v>2481396.8790000002</v>
      </c>
      <c r="D330" t="s">
        <v>111</v>
      </c>
      <c r="E330" t="s">
        <v>20</v>
      </c>
      <c r="F330">
        <v>920.5</v>
      </c>
      <c r="G330">
        <v>14.3</v>
      </c>
    </row>
    <row r="331" spans="1:7" x14ac:dyDescent="0.25">
      <c r="A331" t="s">
        <v>110</v>
      </c>
      <c r="B331">
        <v>4924885.0209999997</v>
      </c>
      <c r="C331">
        <v>2481396.8790000002</v>
      </c>
      <c r="D331" t="s">
        <v>111</v>
      </c>
      <c r="E331" t="s">
        <v>20</v>
      </c>
      <c r="F331">
        <v>928.07071010000004</v>
      </c>
      <c r="G331">
        <v>14</v>
      </c>
    </row>
    <row r="332" spans="1:7" x14ac:dyDescent="0.25">
      <c r="A332" t="s">
        <v>110</v>
      </c>
      <c r="B332">
        <v>4924885.0209999997</v>
      </c>
      <c r="C332">
        <v>2481396.8790000002</v>
      </c>
      <c r="D332" t="s">
        <v>111</v>
      </c>
      <c r="E332" t="s">
        <v>20</v>
      </c>
      <c r="F332">
        <v>928.12</v>
      </c>
      <c r="G332">
        <v>14</v>
      </c>
    </row>
    <row r="333" spans="1:7" x14ac:dyDescent="0.25">
      <c r="A333" t="s">
        <v>110</v>
      </c>
      <c r="B333">
        <v>4924885.0209999997</v>
      </c>
      <c r="C333">
        <v>2481396.8790000002</v>
      </c>
      <c r="D333" t="s">
        <v>111</v>
      </c>
      <c r="E333" t="s">
        <v>20</v>
      </c>
      <c r="F333">
        <v>953.97744590000002</v>
      </c>
      <c r="G333">
        <v>12.3</v>
      </c>
    </row>
    <row r="334" spans="1:7" x14ac:dyDescent="0.25">
      <c r="A334" t="s">
        <v>110</v>
      </c>
      <c r="B334">
        <v>4924885.0209999997</v>
      </c>
      <c r="C334">
        <v>2481396.8790000002</v>
      </c>
      <c r="D334" t="s">
        <v>111</v>
      </c>
      <c r="E334" t="s">
        <v>20</v>
      </c>
      <c r="F334">
        <v>954.02</v>
      </c>
      <c r="G334">
        <v>12.3</v>
      </c>
    </row>
    <row r="335" spans="1:7" x14ac:dyDescent="0.25">
      <c r="A335" t="s">
        <v>110</v>
      </c>
      <c r="B335">
        <v>4924885.0209999997</v>
      </c>
      <c r="C335">
        <v>2481396.8790000002</v>
      </c>
      <c r="D335" t="s">
        <v>111</v>
      </c>
      <c r="E335" t="s">
        <v>20</v>
      </c>
      <c r="F335">
        <v>959.76836330000003</v>
      </c>
      <c r="G335">
        <v>7.1</v>
      </c>
    </row>
    <row r="336" spans="1:7" x14ac:dyDescent="0.25">
      <c r="A336" t="s">
        <v>110</v>
      </c>
      <c r="B336">
        <v>4924885.0209999997</v>
      </c>
      <c r="C336">
        <v>2481396.8790000002</v>
      </c>
      <c r="D336" t="s">
        <v>111</v>
      </c>
      <c r="E336" t="s">
        <v>20</v>
      </c>
      <c r="F336">
        <v>959.82</v>
      </c>
      <c r="G336">
        <v>7.1</v>
      </c>
    </row>
    <row r="337" spans="1:7" x14ac:dyDescent="0.25">
      <c r="A337" t="s">
        <v>110</v>
      </c>
      <c r="B337">
        <v>4924885.0209999997</v>
      </c>
      <c r="C337">
        <v>2481396.8790000002</v>
      </c>
      <c r="D337" t="s">
        <v>111</v>
      </c>
      <c r="E337" t="s">
        <v>20</v>
      </c>
      <c r="F337">
        <v>966.16885100000002</v>
      </c>
      <c r="G337">
        <v>11.6</v>
      </c>
    </row>
    <row r="338" spans="1:7" x14ac:dyDescent="0.25">
      <c r="A338" t="s">
        <v>110</v>
      </c>
      <c r="B338">
        <v>4924885.0209999997</v>
      </c>
      <c r="C338">
        <v>2481396.8790000002</v>
      </c>
      <c r="D338" t="s">
        <v>111</v>
      </c>
      <c r="E338" t="s">
        <v>20</v>
      </c>
      <c r="F338">
        <v>966.22</v>
      </c>
      <c r="G338">
        <v>11.6</v>
      </c>
    </row>
    <row r="339" spans="1:7" x14ac:dyDescent="0.25">
      <c r="A339" t="s">
        <v>110</v>
      </c>
      <c r="B339">
        <v>4924885.0209999997</v>
      </c>
      <c r="C339">
        <v>2481396.8790000002</v>
      </c>
      <c r="D339" t="s">
        <v>111</v>
      </c>
      <c r="E339" t="s">
        <v>20</v>
      </c>
      <c r="F339">
        <v>967.6927766</v>
      </c>
      <c r="G339">
        <v>3.6</v>
      </c>
    </row>
    <row r="340" spans="1:7" x14ac:dyDescent="0.25">
      <c r="A340" t="s">
        <v>110</v>
      </c>
      <c r="B340">
        <v>4924885.0209999997</v>
      </c>
      <c r="C340">
        <v>2481396.8790000002</v>
      </c>
      <c r="D340" t="s">
        <v>111</v>
      </c>
      <c r="E340" t="s">
        <v>20</v>
      </c>
      <c r="F340">
        <v>967.74</v>
      </c>
      <c r="G340">
        <v>3.6</v>
      </c>
    </row>
    <row r="341" spans="1:7" x14ac:dyDescent="0.25">
      <c r="A341" t="s">
        <v>110</v>
      </c>
      <c r="B341">
        <v>4924885.0209999997</v>
      </c>
      <c r="C341">
        <v>2481396.8790000002</v>
      </c>
      <c r="D341" t="s">
        <v>111</v>
      </c>
      <c r="E341" t="s">
        <v>20</v>
      </c>
      <c r="F341">
        <v>971.95976840000003</v>
      </c>
      <c r="G341">
        <v>10.1</v>
      </c>
    </row>
    <row r="342" spans="1:7" x14ac:dyDescent="0.25">
      <c r="A342" t="s">
        <v>110</v>
      </c>
      <c r="B342">
        <v>4924885.0209999997</v>
      </c>
      <c r="C342">
        <v>2481396.8790000002</v>
      </c>
      <c r="D342" t="s">
        <v>111</v>
      </c>
      <c r="E342" t="s">
        <v>20</v>
      </c>
      <c r="F342">
        <v>972.01</v>
      </c>
      <c r="G342">
        <v>10.1</v>
      </c>
    </row>
    <row r="343" spans="1:7" x14ac:dyDescent="0.25">
      <c r="A343" t="s">
        <v>110</v>
      </c>
      <c r="B343">
        <v>4924885.0209999997</v>
      </c>
      <c r="C343">
        <v>2481396.8790000002</v>
      </c>
      <c r="D343" t="s">
        <v>111</v>
      </c>
      <c r="E343" t="s">
        <v>20</v>
      </c>
      <c r="F343">
        <v>975.31240479999997</v>
      </c>
      <c r="G343">
        <v>10.7</v>
      </c>
    </row>
    <row r="344" spans="1:7" x14ac:dyDescent="0.25">
      <c r="A344" t="s">
        <v>110</v>
      </c>
      <c r="B344">
        <v>4924885.0209999997</v>
      </c>
      <c r="C344">
        <v>2481396.8790000002</v>
      </c>
      <c r="D344" t="s">
        <v>111</v>
      </c>
      <c r="E344" t="s">
        <v>20</v>
      </c>
      <c r="F344">
        <v>975.36</v>
      </c>
      <c r="G344">
        <v>10.7</v>
      </c>
    </row>
    <row r="345" spans="1:7" x14ac:dyDescent="0.25">
      <c r="A345" t="s">
        <v>110</v>
      </c>
      <c r="B345">
        <v>4924885.0209999997</v>
      </c>
      <c r="C345">
        <v>2481396.8790000002</v>
      </c>
      <c r="D345" t="s">
        <v>111</v>
      </c>
      <c r="E345" t="s">
        <v>20</v>
      </c>
      <c r="F345">
        <v>985.97988420000001</v>
      </c>
      <c r="G345">
        <v>2.6</v>
      </c>
    </row>
    <row r="346" spans="1:7" x14ac:dyDescent="0.25">
      <c r="A346" t="s">
        <v>110</v>
      </c>
      <c r="B346">
        <v>4924885.0209999997</v>
      </c>
      <c r="C346">
        <v>2481396.8790000002</v>
      </c>
      <c r="D346" t="s">
        <v>111</v>
      </c>
      <c r="E346" t="s">
        <v>20</v>
      </c>
      <c r="F346">
        <v>986.03</v>
      </c>
      <c r="G346">
        <v>2.6</v>
      </c>
    </row>
    <row r="347" spans="1:7" x14ac:dyDescent="0.25">
      <c r="A347" t="s">
        <v>110</v>
      </c>
      <c r="B347">
        <v>4924885.0209999997</v>
      </c>
      <c r="C347">
        <v>2481396.8790000002</v>
      </c>
      <c r="D347" t="s">
        <v>111</v>
      </c>
      <c r="E347" t="s">
        <v>20</v>
      </c>
      <c r="F347">
        <v>1007.619628</v>
      </c>
      <c r="G347">
        <v>2.7</v>
      </c>
    </row>
    <row r="348" spans="1:7" x14ac:dyDescent="0.25">
      <c r="A348" t="s">
        <v>110</v>
      </c>
      <c r="B348">
        <v>4924885.0209999997</v>
      </c>
      <c r="C348">
        <v>2481396.8790000002</v>
      </c>
      <c r="D348" t="s">
        <v>111</v>
      </c>
      <c r="E348" t="s">
        <v>20</v>
      </c>
      <c r="F348">
        <v>1007.67</v>
      </c>
      <c r="G348">
        <v>2.7</v>
      </c>
    </row>
    <row r="349" spans="1:7" x14ac:dyDescent="0.25">
      <c r="A349" t="s">
        <v>110</v>
      </c>
      <c r="B349">
        <v>4924885.0209999997</v>
      </c>
      <c r="C349">
        <v>2481396.8790000002</v>
      </c>
      <c r="D349" t="s">
        <v>111</v>
      </c>
      <c r="E349" t="s">
        <v>20</v>
      </c>
      <c r="F349">
        <v>1038.707711</v>
      </c>
      <c r="G349">
        <v>4.3</v>
      </c>
    </row>
    <row r="350" spans="1:7" x14ac:dyDescent="0.25">
      <c r="A350" t="s">
        <v>110</v>
      </c>
      <c r="B350">
        <v>4924885.0209999997</v>
      </c>
      <c r="C350">
        <v>2481396.8790000002</v>
      </c>
      <c r="D350" t="s">
        <v>111</v>
      </c>
      <c r="E350" t="s">
        <v>20</v>
      </c>
      <c r="F350">
        <v>1038.76</v>
      </c>
      <c r="G350">
        <v>4.3</v>
      </c>
    </row>
    <row r="351" spans="1:7" x14ac:dyDescent="0.25">
      <c r="A351" t="s">
        <v>110</v>
      </c>
      <c r="B351">
        <v>4924885.0209999997</v>
      </c>
      <c r="C351">
        <v>2481396.8790000002</v>
      </c>
      <c r="D351" t="s">
        <v>111</v>
      </c>
      <c r="E351" t="s">
        <v>20</v>
      </c>
      <c r="F351">
        <v>1069.7957939999999</v>
      </c>
      <c r="G351">
        <v>5.9</v>
      </c>
    </row>
    <row r="352" spans="1:7" x14ac:dyDescent="0.25">
      <c r="A352" t="s">
        <v>110</v>
      </c>
      <c r="B352">
        <v>4924885.0209999997</v>
      </c>
      <c r="C352">
        <v>2481396.8790000002</v>
      </c>
      <c r="D352" t="s">
        <v>111</v>
      </c>
      <c r="E352" t="s">
        <v>20</v>
      </c>
      <c r="F352">
        <v>1069.8499999999999</v>
      </c>
      <c r="G352">
        <v>5.9</v>
      </c>
    </row>
    <row r="353" spans="1:7" x14ac:dyDescent="0.25">
      <c r="A353" t="s">
        <v>110</v>
      </c>
      <c r="B353">
        <v>4924885.0209999997</v>
      </c>
      <c r="C353">
        <v>2481396.8790000002</v>
      </c>
      <c r="D353" t="s">
        <v>111</v>
      </c>
      <c r="E353" t="s">
        <v>20</v>
      </c>
      <c r="F353">
        <v>1091.1307529999999</v>
      </c>
      <c r="G353">
        <v>12.1</v>
      </c>
    </row>
    <row r="354" spans="1:7" x14ac:dyDescent="0.25">
      <c r="A354" t="s">
        <v>110</v>
      </c>
      <c r="B354">
        <v>4924885.0209999997</v>
      </c>
      <c r="C354">
        <v>2481396.8790000002</v>
      </c>
      <c r="D354" t="s">
        <v>111</v>
      </c>
      <c r="E354" t="s">
        <v>20</v>
      </c>
      <c r="F354">
        <v>1091.18</v>
      </c>
      <c r="G354">
        <v>12.1</v>
      </c>
    </row>
    <row r="355" spans="1:7" x14ac:dyDescent="0.25">
      <c r="A355" t="s">
        <v>110</v>
      </c>
      <c r="B355">
        <v>4924885.0209999997</v>
      </c>
      <c r="C355">
        <v>2481396.8790000002</v>
      </c>
      <c r="D355" t="s">
        <v>111</v>
      </c>
      <c r="E355" t="s">
        <v>20</v>
      </c>
      <c r="F355">
        <v>1099.969521</v>
      </c>
      <c r="G355">
        <v>6.1</v>
      </c>
    </row>
    <row r="356" spans="1:7" x14ac:dyDescent="0.25">
      <c r="A356" t="s">
        <v>110</v>
      </c>
      <c r="B356">
        <v>4924885.0209999997</v>
      </c>
      <c r="C356">
        <v>2481396.8790000002</v>
      </c>
      <c r="D356" t="s">
        <v>111</v>
      </c>
      <c r="E356" t="s">
        <v>20</v>
      </c>
      <c r="F356">
        <v>1100.02</v>
      </c>
      <c r="G356">
        <v>6.1</v>
      </c>
    </row>
    <row r="357" spans="1:7" x14ac:dyDescent="0.25">
      <c r="A357" t="s">
        <v>110</v>
      </c>
      <c r="B357">
        <v>4924885.0209999997</v>
      </c>
      <c r="C357">
        <v>2481396.8790000002</v>
      </c>
      <c r="D357" t="s">
        <v>111</v>
      </c>
      <c r="E357" t="s">
        <v>20</v>
      </c>
      <c r="F357">
        <v>1111.856141</v>
      </c>
      <c r="G357">
        <v>3.2</v>
      </c>
    </row>
    <row r="358" spans="1:7" x14ac:dyDescent="0.25">
      <c r="A358" t="s">
        <v>110</v>
      </c>
      <c r="B358">
        <v>4924885.0209999997</v>
      </c>
      <c r="C358">
        <v>2481396.8790000002</v>
      </c>
      <c r="D358" t="s">
        <v>111</v>
      </c>
      <c r="E358" t="s">
        <v>20</v>
      </c>
      <c r="F358">
        <v>1111.9100000000001</v>
      </c>
      <c r="G358">
        <v>3.2</v>
      </c>
    </row>
    <row r="359" spans="1:7" x14ac:dyDescent="0.25">
      <c r="A359" t="s">
        <v>110</v>
      </c>
      <c r="B359">
        <v>4924885.0209999997</v>
      </c>
      <c r="C359">
        <v>2481396.8790000002</v>
      </c>
      <c r="D359" t="s">
        <v>111</v>
      </c>
      <c r="E359" t="s">
        <v>20</v>
      </c>
      <c r="F359">
        <v>1123.1331909999999</v>
      </c>
      <c r="G359">
        <v>8.6</v>
      </c>
    </row>
    <row r="360" spans="1:7" x14ac:dyDescent="0.25">
      <c r="A360" t="s">
        <v>110</v>
      </c>
      <c r="B360">
        <v>4924885.0209999997</v>
      </c>
      <c r="C360">
        <v>2481396.8790000002</v>
      </c>
      <c r="D360" t="s">
        <v>111</v>
      </c>
      <c r="E360" t="s">
        <v>20</v>
      </c>
      <c r="F360">
        <v>1123.19</v>
      </c>
      <c r="G360">
        <v>8.6</v>
      </c>
    </row>
    <row r="361" spans="1:7" x14ac:dyDescent="0.25">
      <c r="A361" t="s">
        <v>110</v>
      </c>
      <c r="B361">
        <v>4924885.0209999997</v>
      </c>
      <c r="C361">
        <v>2481396.8790000002</v>
      </c>
      <c r="D361" t="s">
        <v>111</v>
      </c>
      <c r="E361" t="s">
        <v>20</v>
      </c>
      <c r="F361">
        <v>1130.143249</v>
      </c>
      <c r="G361">
        <v>4.4000000000000004</v>
      </c>
    </row>
    <row r="362" spans="1:7" x14ac:dyDescent="0.25">
      <c r="A362" t="s">
        <v>110</v>
      </c>
      <c r="B362">
        <v>4924885.0209999997</v>
      </c>
      <c r="C362">
        <v>2481396.8790000002</v>
      </c>
      <c r="D362" t="s">
        <v>111</v>
      </c>
      <c r="E362" t="s">
        <v>20</v>
      </c>
      <c r="F362">
        <v>1130.2</v>
      </c>
      <c r="G362">
        <v>4.4000000000000004</v>
      </c>
    </row>
    <row r="363" spans="1:7" x14ac:dyDescent="0.25">
      <c r="A363" t="s">
        <v>110</v>
      </c>
      <c r="B363">
        <v>4924885.0209999997</v>
      </c>
      <c r="C363">
        <v>2481396.8790000002</v>
      </c>
      <c r="D363" t="s">
        <v>111</v>
      </c>
      <c r="E363" t="s">
        <v>20</v>
      </c>
      <c r="F363">
        <v>1133.800671</v>
      </c>
      <c r="G363">
        <v>3.8</v>
      </c>
    </row>
    <row r="364" spans="1:7" x14ac:dyDescent="0.25">
      <c r="A364" t="s">
        <v>110</v>
      </c>
      <c r="B364">
        <v>4924885.0209999997</v>
      </c>
      <c r="C364">
        <v>2481396.8790000002</v>
      </c>
      <c r="D364" t="s">
        <v>111</v>
      </c>
      <c r="E364" t="s">
        <v>20</v>
      </c>
      <c r="F364">
        <v>1133.8599999999999</v>
      </c>
      <c r="G364">
        <v>3.8</v>
      </c>
    </row>
    <row r="365" spans="1:7" x14ac:dyDescent="0.25">
      <c r="A365" t="s">
        <v>110</v>
      </c>
      <c r="B365">
        <v>4924885.0209999997</v>
      </c>
      <c r="C365">
        <v>2481396.8790000002</v>
      </c>
      <c r="D365" t="s">
        <v>111</v>
      </c>
      <c r="E365" t="s">
        <v>20</v>
      </c>
      <c r="F365">
        <v>1142.9442240000001</v>
      </c>
      <c r="G365">
        <v>2.9</v>
      </c>
    </row>
    <row r="366" spans="1:7" x14ac:dyDescent="0.25">
      <c r="A366" t="s">
        <v>110</v>
      </c>
      <c r="B366">
        <v>4924885.0209999997</v>
      </c>
      <c r="C366">
        <v>2481396.8790000002</v>
      </c>
      <c r="D366" t="s">
        <v>111</v>
      </c>
      <c r="E366" t="s">
        <v>20</v>
      </c>
      <c r="F366">
        <v>1143</v>
      </c>
      <c r="G366">
        <v>2.9</v>
      </c>
    </row>
    <row r="367" spans="1:7" x14ac:dyDescent="0.25">
      <c r="A367" t="s">
        <v>110</v>
      </c>
      <c r="B367">
        <v>4924885.0209999997</v>
      </c>
      <c r="C367">
        <v>2481396.8790000002</v>
      </c>
      <c r="D367" t="s">
        <v>111</v>
      </c>
      <c r="E367" t="s">
        <v>20</v>
      </c>
      <c r="F367">
        <v>1156.659555</v>
      </c>
      <c r="G367">
        <v>1.7</v>
      </c>
    </row>
    <row r="368" spans="1:7" x14ac:dyDescent="0.25">
      <c r="A368" t="s">
        <v>110</v>
      </c>
      <c r="B368">
        <v>4924885.0209999997</v>
      </c>
      <c r="C368">
        <v>2481396.8790000002</v>
      </c>
      <c r="D368" t="s">
        <v>111</v>
      </c>
      <c r="E368" t="s">
        <v>20</v>
      </c>
      <c r="F368">
        <v>1156.72</v>
      </c>
      <c r="G368">
        <v>1.7</v>
      </c>
    </row>
    <row r="369" spans="1:7" x14ac:dyDescent="0.25">
      <c r="A369" t="s">
        <v>110</v>
      </c>
      <c r="B369">
        <v>4924885.0209999997</v>
      </c>
      <c r="C369">
        <v>2481396.8790000002</v>
      </c>
      <c r="D369" t="s">
        <v>111</v>
      </c>
      <c r="E369" t="s">
        <v>20</v>
      </c>
      <c r="F369">
        <v>1185.3093570000001</v>
      </c>
      <c r="G369">
        <v>5.3</v>
      </c>
    </row>
    <row r="370" spans="1:7" x14ac:dyDescent="0.25">
      <c r="A370" t="s">
        <v>110</v>
      </c>
      <c r="B370">
        <v>4924885.0209999997</v>
      </c>
      <c r="C370">
        <v>2481396.8790000002</v>
      </c>
      <c r="D370" t="s">
        <v>111</v>
      </c>
      <c r="E370" t="s">
        <v>20</v>
      </c>
      <c r="F370">
        <v>1185.3699999999999</v>
      </c>
      <c r="G370">
        <v>5.3</v>
      </c>
    </row>
    <row r="371" spans="1:7" x14ac:dyDescent="0.25">
      <c r="A371" t="s">
        <v>110</v>
      </c>
      <c r="B371">
        <v>4924885.0209999997</v>
      </c>
      <c r="C371">
        <v>2481396.8790000002</v>
      </c>
      <c r="D371" t="s">
        <v>111</v>
      </c>
      <c r="E371" t="s">
        <v>20</v>
      </c>
      <c r="F371">
        <v>1215.483084</v>
      </c>
      <c r="G371">
        <v>3.3</v>
      </c>
    </row>
    <row r="372" spans="1:7" x14ac:dyDescent="0.25">
      <c r="A372" t="s">
        <v>110</v>
      </c>
      <c r="B372">
        <v>4924885.0209999997</v>
      </c>
      <c r="C372">
        <v>2481396.8790000002</v>
      </c>
      <c r="D372" t="s">
        <v>111</v>
      </c>
      <c r="E372" t="s">
        <v>20</v>
      </c>
      <c r="F372">
        <v>1215.54</v>
      </c>
      <c r="G372">
        <v>3.3</v>
      </c>
    </row>
    <row r="373" spans="1:7" x14ac:dyDescent="0.25">
      <c r="A373" t="s">
        <v>110</v>
      </c>
      <c r="B373">
        <v>4924885.0209999997</v>
      </c>
      <c r="C373">
        <v>2481396.8790000002</v>
      </c>
      <c r="D373" t="s">
        <v>111</v>
      </c>
      <c r="E373" t="s">
        <v>20</v>
      </c>
      <c r="F373">
        <v>1224.626638</v>
      </c>
      <c r="G373">
        <v>5.6</v>
      </c>
    </row>
    <row r="374" spans="1:7" x14ac:dyDescent="0.25">
      <c r="A374" t="s">
        <v>110</v>
      </c>
      <c r="B374">
        <v>4924885.0209999997</v>
      </c>
      <c r="C374">
        <v>2481396.8790000002</v>
      </c>
      <c r="D374" t="s">
        <v>111</v>
      </c>
      <c r="E374" t="s">
        <v>20</v>
      </c>
      <c r="F374">
        <v>1224.69</v>
      </c>
      <c r="G374">
        <v>5.6</v>
      </c>
    </row>
    <row r="375" spans="1:7" x14ac:dyDescent="0.25">
      <c r="A375" t="s">
        <v>110</v>
      </c>
      <c r="B375">
        <v>4924885.0209999997</v>
      </c>
      <c r="C375">
        <v>2481396.8790000002</v>
      </c>
      <c r="D375" t="s">
        <v>111</v>
      </c>
      <c r="E375" t="s">
        <v>20</v>
      </c>
      <c r="F375">
        <v>1230.11277</v>
      </c>
      <c r="G375">
        <v>2.2999999999999998</v>
      </c>
    </row>
    <row r="376" spans="1:7" x14ac:dyDescent="0.25">
      <c r="A376" t="s">
        <v>110</v>
      </c>
      <c r="B376">
        <v>4924885.0209999997</v>
      </c>
      <c r="C376">
        <v>2481396.8790000002</v>
      </c>
      <c r="D376" t="s">
        <v>111</v>
      </c>
      <c r="E376" t="s">
        <v>20</v>
      </c>
      <c r="F376">
        <v>1230.17</v>
      </c>
      <c r="G376">
        <v>2.2999999999999998</v>
      </c>
    </row>
    <row r="377" spans="1:7" x14ac:dyDescent="0.25">
      <c r="A377" t="s">
        <v>110</v>
      </c>
      <c r="B377">
        <v>4924885.0209999997</v>
      </c>
      <c r="C377">
        <v>2481396.8790000002</v>
      </c>
      <c r="D377" t="s">
        <v>111</v>
      </c>
      <c r="E377" t="s">
        <v>20</v>
      </c>
      <c r="F377">
        <v>1242.3041760000001</v>
      </c>
      <c r="G377">
        <v>2.5</v>
      </c>
    </row>
    <row r="378" spans="1:7" x14ac:dyDescent="0.25">
      <c r="A378" t="s">
        <v>110</v>
      </c>
      <c r="B378">
        <v>4924885.0209999997</v>
      </c>
      <c r="C378">
        <v>2481396.8790000002</v>
      </c>
      <c r="D378" t="s">
        <v>111</v>
      </c>
      <c r="E378" t="s">
        <v>20</v>
      </c>
      <c r="F378">
        <v>1242.3599999999999</v>
      </c>
      <c r="G378">
        <v>2.5</v>
      </c>
    </row>
    <row r="379" spans="1:7" x14ac:dyDescent="0.25">
      <c r="A379" t="s">
        <v>110</v>
      </c>
      <c r="B379">
        <v>4924885.0209999997</v>
      </c>
      <c r="C379">
        <v>2481396.8790000002</v>
      </c>
      <c r="D379" t="s">
        <v>111</v>
      </c>
      <c r="E379" t="s">
        <v>112</v>
      </c>
      <c r="F379">
        <v>1330.6918619999999</v>
      </c>
      <c r="G379">
        <v>2.6</v>
      </c>
    </row>
    <row r="380" spans="1:7" x14ac:dyDescent="0.25">
      <c r="A380" t="s">
        <v>110</v>
      </c>
      <c r="B380">
        <v>4924885.0209999997</v>
      </c>
      <c r="C380">
        <v>2481396.8790000002</v>
      </c>
      <c r="D380" t="s">
        <v>111</v>
      </c>
      <c r="E380" t="s">
        <v>112</v>
      </c>
      <c r="F380">
        <v>1330.76</v>
      </c>
      <c r="G380">
        <v>2.6</v>
      </c>
    </row>
    <row r="381" spans="1:7" x14ac:dyDescent="0.25">
      <c r="A381" t="s">
        <v>110</v>
      </c>
      <c r="B381">
        <v>4924885.0209999997</v>
      </c>
      <c r="C381">
        <v>2481396.8790000002</v>
      </c>
      <c r="D381" t="s">
        <v>111</v>
      </c>
      <c r="E381" t="s">
        <v>112</v>
      </c>
      <c r="F381">
        <v>1336.177995</v>
      </c>
      <c r="G381">
        <v>2.9</v>
      </c>
    </row>
    <row r="382" spans="1:7" x14ac:dyDescent="0.25">
      <c r="A382" t="s">
        <v>110</v>
      </c>
      <c r="B382">
        <v>4924885.0209999997</v>
      </c>
      <c r="C382">
        <v>2481396.8790000002</v>
      </c>
      <c r="D382" t="s">
        <v>111</v>
      </c>
      <c r="E382" t="s">
        <v>112</v>
      </c>
      <c r="F382">
        <v>1336.24</v>
      </c>
      <c r="G382">
        <v>2.9</v>
      </c>
    </row>
    <row r="383" spans="1:7" x14ac:dyDescent="0.25">
      <c r="A383" t="s">
        <v>110</v>
      </c>
      <c r="B383">
        <v>4924885.0209999997</v>
      </c>
      <c r="C383">
        <v>2481396.8790000002</v>
      </c>
      <c r="D383" t="s">
        <v>111</v>
      </c>
      <c r="E383" t="s">
        <v>112</v>
      </c>
      <c r="F383">
        <v>1341.0545569999999</v>
      </c>
      <c r="G383">
        <v>4.8</v>
      </c>
    </row>
    <row r="384" spans="1:7" x14ac:dyDescent="0.25">
      <c r="A384" t="s">
        <v>110</v>
      </c>
      <c r="B384">
        <v>4924885.0209999997</v>
      </c>
      <c r="C384">
        <v>2481396.8790000002</v>
      </c>
      <c r="D384" t="s">
        <v>111</v>
      </c>
      <c r="E384" t="s">
        <v>112</v>
      </c>
      <c r="F384">
        <v>1341.12</v>
      </c>
      <c r="G384">
        <v>4.8</v>
      </c>
    </row>
    <row r="385" spans="1:7" x14ac:dyDescent="0.25">
      <c r="A385" t="s">
        <v>110</v>
      </c>
      <c r="B385">
        <v>4924885.0209999997</v>
      </c>
      <c r="C385">
        <v>2481396.8790000002</v>
      </c>
      <c r="D385" t="s">
        <v>111</v>
      </c>
      <c r="E385" t="s">
        <v>112</v>
      </c>
      <c r="F385">
        <v>1377.628772</v>
      </c>
      <c r="G385">
        <v>4.8</v>
      </c>
    </row>
    <row r="386" spans="1:7" x14ac:dyDescent="0.25">
      <c r="A386" t="s">
        <v>110</v>
      </c>
      <c r="B386">
        <v>4924885.0209999997</v>
      </c>
      <c r="C386">
        <v>2481396.8790000002</v>
      </c>
      <c r="D386" t="s">
        <v>111</v>
      </c>
      <c r="E386" t="s">
        <v>112</v>
      </c>
      <c r="F386">
        <v>1377.7</v>
      </c>
      <c r="G386">
        <v>4.8</v>
      </c>
    </row>
    <row r="387" spans="1:7" x14ac:dyDescent="0.25">
      <c r="A387" t="s">
        <v>110</v>
      </c>
      <c r="B387">
        <v>4924885.0209999997</v>
      </c>
      <c r="C387">
        <v>2481396.8790000002</v>
      </c>
      <c r="D387" t="s">
        <v>111</v>
      </c>
      <c r="E387" t="s">
        <v>112</v>
      </c>
      <c r="F387">
        <v>1391.344102</v>
      </c>
      <c r="G387">
        <v>3.5</v>
      </c>
    </row>
    <row r="388" spans="1:7" x14ac:dyDescent="0.25">
      <c r="A388" t="s">
        <v>110</v>
      </c>
      <c r="B388">
        <v>4924885.0209999997</v>
      </c>
      <c r="C388">
        <v>2481396.8790000002</v>
      </c>
      <c r="D388" t="s">
        <v>111</v>
      </c>
      <c r="E388" t="s">
        <v>112</v>
      </c>
      <c r="F388">
        <v>1391.41</v>
      </c>
      <c r="G388">
        <v>3.5</v>
      </c>
    </row>
    <row r="389" spans="1:7" x14ac:dyDescent="0.25">
      <c r="A389" t="s">
        <v>110</v>
      </c>
      <c r="B389">
        <v>4924885.0209999997</v>
      </c>
      <c r="C389">
        <v>2481396.8790000002</v>
      </c>
      <c r="D389" t="s">
        <v>111</v>
      </c>
      <c r="E389" t="s">
        <v>105</v>
      </c>
      <c r="F389">
        <v>1402.0115820000001</v>
      </c>
      <c r="G389">
        <v>2.4</v>
      </c>
    </row>
    <row r="390" spans="1:7" x14ac:dyDescent="0.25">
      <c r="A390" t="s">
        <v>110</v>
      </c>
      <c r="B390">
        <v>4924885.0209999997</v>
      </c>
      <c r="C390">
        <v>2481396.8790000002</v>
      </c>
      <c r="D390" t="s">
        <v>111</v>
      </c>
      <c r="E390" t="s">
        <v>105</v>
      </c>
      <c r="F390">
        <v>1402.08</v>
      </c>
      <c r="G390">
        <v>2.4</v>
      </c>
    </row>
    <row r="391" spans="1:7" x14ac:dyDescent="0.25">
      <c r="A391" t="s">
        <v>110</v>
      </c>
      <c r="B391">
        <v>4924885.0209999997</v>
      </c>
      <c r="C391">
        <v>2481396.8790000002</v>
      </c>
      <c r="D391" t="s">
        <v>111</v>
      </c>
      <c r="E391" t="s">
        <v>105</v>
      </c>
      <c r="F391">
        <v>1417.2508379999999</v>
      </c>
      <c r="G391">
        <v>5</v>
      </c>
    </row>
    <row r="392" spans="1:7" x14ac:dyDescent="0.25">
      <c r="A392" t="s">
        <v>110</v>
      </c>
      <c r="B392">
        <v>4924885.0209999997</v>
      </c>
      <c r="C392">
        <v>2481396.8790000002</v>
      </c>
      <c r="D392" t="s">
        <v>111</v>
      </c>
      <c r="E392" t="s">
        <v>105</v>
      </c>
      <c r="F392">
        <v>1417.32</v>
      </c>
      <c r="G392">
        <v>5</v>
      </c>
    </row>
    <row r="393" spans="1:7" x14ac:dyDescent="0.25">
      <c r="A393" t="s">
        <v>110</v>
      </c>
      <c r="B393">
        <v>4924885.0209999997</v>
      </c>
      <c r="C393">
        <v>2481396.8790000002</v>
      </c>
      <c r="D393" t="s">
        <v>111</v>
      </c>
      <c r="E393" t="s">
        <v>105</v>
      </c>
      <c r="F393">
        <v>1420.298689</v>
      </c>
      <c r="G393">
        <v>3.7</v>
      </c>
    </row>
    <row r="394" spans="1:7" x14ac:dyDescent="0.25">
      <c r="A394" t="s">
        <v>110</v>
      </c>
      <c r="B394">
        <v>4924885.0209999997</v>
      </c>
      <c r="C394">
        <v>2481396.8790000002</v>
      </c>
      <c r="D394" t="s">
        <v>111</v>
      </c>
      <c r="E394" t="s">
        <v>105</v>
      </c>
      <c r="F394">
        <v>1420.37</v>
      </c>
      <c r="G394">
        <v>3.7</v>
      </c>
    </row>
    <row r="395" spans="1:7" x14ac:dyDescent="0.25">
      <c r="A395" t="s">
        <v>110</v>
      </c>
      <c r="B395">
        <v>4924885.0209999997</v>
      </c>
      <c r="C395">
        <v>2481396.8790000002</v>
      </c>
      <c r="D395" t="s">
        <v>111</v>
      </c>
      <c r="E395" t="s">
        <v>105</v>
      </c>
      <c r="F395">
        <v>1426.3943919999999</v>
      </c>
      <c r="G395">
        <v>5</v>
      </c>
    </row>
    <row r="396" spans="1:7" x14ac:dyDescent="0.25">
      <c r="A396" t="s">
        <v>110</v>
      </c>
      <c r="B396">
        <v>4924885.0209999997</v>
      </c>
      <c r="C396">
        <v>2481396.8790000002</v>
      </c>
      <c r="D396" t="s">
        <v>111</v>
      </c>
      <c r="E396" t="s">
        <v>105</v>
      </c>
      <c r="F396">
        <v>1426.46</v>
      </c>
      <c r="G396">
        <v>5</v>
      </c>
    </row>
    <row r="397" spans="1:7" x14ac:dyDescent="0.25">
      <c r="A397" t="s">
        <v>110</v>
      </c>
      <c r="B397">
        <v>4924885.0209999997</v>
      </c>
      <c r="C397">
        <v>2481396.8790000002</v>
      </c>
      <c r="D397" t="s">
        <v>111</v>
      </c>
      <c r="E397" t="s">
        <v>105</v>
      </c>
      <c r="F397">
        <v>1429.442243</v>
      </c>
      <c r="G397">
        <v>4.9000000000000004</v>
      </c>
    </row>
    <row r="398" spans="1:7" x14ac:dyDescent="0.25">
      <c r="A398" t="s">
        <v>110</v>
      </c>
      <c r="B398">
        <v>4924885.0209999997</v>
      </c>
      <c r="C398">
        <v>2481396.8790000002</v>
      </c>
      <c r="D398" t="s">
        <v>111</v>
      </c>
      <c r="E398" t="s">
        <v>105</v>
      </c>
      <c r="F398">
        <v>1429.51</v>
      </c>
      <c r="G398">
        <v>4.9000000000000004</v>
      </c>
    </row>
    <row r="399" spans="1:7" x14ac:dyDescent="0.25">
      <c r="A399" t="s">
        <v>110</v>
      </c>
      <c r="B399">
        <v>4924885.0209999997</v>
      </c>
      <c r="C399">
        <v>2481396.8790000002</v>
      </c>
      <c r="D399" t="s">
        <v>111</v>
      </c>
      <c r="E399" t="s">
        <v>105</v>
      </c>
      <c r="F399">
        <v>1432.490094</v>
      </c>
      <c r="G399">
        <v>3.7</v>
      </c>
    </row>
    <row r="400" spans="1:7" x14ac:dyDescent="0.25">
      <c r="A400" t="s">
        <v>110</v>
      </c>
      <c r="B400">
        <v>4924885.0209999997</v>
      </c>
      <c r="C400">
        <v>2481396.8790000002</v>
      </c>
      <c r="D400" t="s">
        <v>111</v>
      </c>
      <c r="E400" t="s">
        <v>105</v>
      </c>
      <c r="F400">
        <v>1432.56</v>
      </c>
      <c r="G400">
        <v>3.7</v>
      </c>
    </row>
    <row r="401" spans="1:7" x14ac:dyDescent="0.25">
      <c r="A401" t="s">
        <v>113</v>
      </c>
      <c r="B401">
        <v>4920365</v>
      </c>
      <c r="C401">
        <v>2410721</v>
      </c>
      <c r="D401" t="s">
        <v>71</v>
      </c>
      <c r="E401" t="s">
        <v>114</v>
      </c>
      <c r="F401">
        <v>1054.6099999999999</v>
      </c>
      <c r="G401">
        <v>14.2</v>
      </c>
    </row>
    <row r="402" spans="1:7" x14ac:dyDescent="0.25">
      <c r="A402" t="s">
        <v>113</v>
      </c>
      <c r="B402">
        <v>4920365</v>
      </c>
      <c r="C402">
        <v>2410721</v>
      </c>
      <c r="D402" t="s">
        <v>71</v>
      </c>
      <c r="E402" t="s">
        <v>114</v>
      </c>
      <c r="F402">
        <v>1060.7</v>
      </c>
      <c r="G402">
        <v>31.5</v>
      </c>
    </row>
    <row r="403" spans="1:7" x14ac:dyDescent="0.25">
      <c r="A403" t="s">
        <v>113</v>
      </c>
      <c r="B403">
        <v>4920365</v>
      </c>
      <c r="C403">
        <v>2410721</v>
      </c>
      <c r="D403" t="s">
        <v>71</v>
      </c>
      <c r="E403" t="s">
        <v>115</v>
      </c>
      <c r="F403">
        <v>1347.22</v>
      </c>
      <c r="G403">
        <v>29.1</v>
      </c>
    </row>
    <row r="404" spans="1:7" x14ac:dyDescent="0.25">
      <c r="A404" t="s">
        <v>113</v>
      </c>
      <c r="B404">
        <v>4920365</v>
      </c>
      <c r="C404">
        <v>2410721</v>
      </c>
      <c r="D404" t="s">
        <v>71</v>
      </c>
      <c r="E404" t="s">
        <v>115</v>
      </c>
      <c r="F404">
        <v>1405.13</v>
      </c>
      <c r="G404">
        <v>27.2</v>
      </c>
    </row>
    <row r="405" spans="1:7" x14ac:dyDescent="0.25">
      <c r="A405" t="s">
        <v>113</v>
      </c>
      <c r="B405">
        <v>4920365</v>
      </c>
      <c r="C405">
        <v>2410721</v>
      </c>
      <c r="D405" t="s">
        <v>71</v>
      </c>
      <c r="E405" t="s">
        <v>115</v>
      </c>
      <c r="F405">
        <v>1441.7</v>
      </c>
      <c r="G405">
        <v>30.9</v>
      </c>
    </row>
    <row r="406" spans="1:7" x14ac:dyDescent="0.25">
      <c r="A406" t="s">
        <v>113</v>
      </c>
      <c r="B406">
        <v>4920365</v>
      </c>
      <c r="C406">
        <v>2410721</v>
      </c>
      <c r="D406" t="s">
        <v>71</v>
      </c>
      <c r="E406" t="s">
        <v>116</v>
      </c>
      <c r="F406">
        <v>2188.46</v>
      </c>
      <c r="G406">
        <v>28.9</v>
      </c>
    </row>
    <row r="407" spans="1:7" x14ac:dyDescent="0.25">
      <c r="A407" t="s">
        <v>113</v>
      </c>
      <c r="B407">
        <v>4920365</v>
      </c>
      <c r="C407">
        <v>2410721</v>
      </c>
      <c r="D407" t="s">
        <v>71</v>
      </c>
      <c r="E407" t="s">
        <v>116</v>
      </c>
      <c r="F407">
        <v>2255.52</v>
      </c>
      <c r="G407">
        <v>29.5</v>
      </c>
    </row>
    <row r="408" spans="1:7" x14ac:dyDescent="0.25">
      <c r="A408" t="s">
        <v>113</v>
      </c>
      <c r="B408">
        <v>4920365</v>
      </c>
      <c r="C408">
        <v>2410721</v>
      </c>
      <c r="D408" t="s">
        <v>71</v>
      </c>
      <c r="E408" t="s">
        <v>116</v>
      </c>
      <c r="F408">
        <v>2307.34</v>
      </c>
      <c r="G408">
        <v>29.4</v>
      </c>
    </row>
    <row r="409" spans="1:7" x14ac:dyDescent="0.25">
      <c r="A409" t="s">
        <v>113</v>
      </c>
      <c r="B409">
        <v>4920365</v>
      </c>
      <c r="C409">
        <v>2410721</v>
      </c>
      <c r="D409" t="s">
        <v>71</v>
      </c>
      <c r="E409" t="s">
        <v>116</v>
      </c>
      <c r="F409">
        <v>2346.96</v>
      </c>
      <c r="G409">
        <v>27.1</v>
      </c>
    </row>
    <row r="410" spans="1:7" x14ac:dyDescent="0.25">
      <c r="A410" t="s">
        <v>113</v>
      </c>
      <c r="B410">
        <v>4920365</v>
      </c>
      <c r="C410">
        <v>2410721</v>
      </c>
      <c r="D410" t="s">
        <v>71</v>
      </c>
      <c r="E410" t="s">
        <v>116</v>
      </c>
      <c r="F410">
        <v>2361.59</v>
      </c>
      <c r="G410">
        <v>18.8</v>
      </c>
    </row>
    <row r="411" spans="1:7" x14ac:dyDescent="0.25">
      <c r="A411" t="s">
        <v>113</v>
      </c>
      <c r="B411">
        <v>4920365</v>
      </c>
      <c r="C411">
        <v>2410721</v>
      </c>
      <c r="D411" t="s">
        <v>71</v>
      </c>
      <c r="E411" t="s">
        <v>116</v>
      </c>
      <c r="F411">
        <v>2417.06</v>
      </c>
      <c r="G411">
        <v>24.3</v>
      </c>
    </row>
    <row r="412" spans="1:7" x14ac:dyDescent="0.25">
      <c r="A412" t="s">
        <v>113</v>
      </c>
      <c r="B412">
        <v>4920365</v>
      </c>
      <c r="C412">
        <v>2410721</v>
      </c>
      <c r="D412" t="s">
        <v>71</v>
      </c>
      <c r="E412" t="s">
        <v>116</v>
      </c>
      <c r="F412">
        <v>2450.59</v>
      </c>
      <c r="G412">
        <v>19.100000000000001</v>
      </c>
    </row>
    <row r="413" spans="1:7" x14ac:dyDescent="0.25">
      <c r="A413" t="s">
        <v>113</v>
      </c>
      <c r="B413">
        <v>4920365</v>
      </c>
      <c r="C413">
        <v>2410721</v>
      </c>
      <c r="D413" t="s">
        <v>71</v>
      </c>
      <c r="E413" t="s">
        <v>116</v>
      </c>
      <c r="F413">
        <v>2465.83</v>
      </c>
      <c r="G413">
        <v>21</v>
      </c>
    </row>
    <row r="414" spans="1:7" x14ac:dyDescent="0.25">
      <c r="A414" t="s">
        <v>113</v>
      </c>
      <c r="B414">
        <v>4920365</v>
      </c>
      <c r="C414">
        <v>2410721</v>
      </c>
      <c r="D414" t="s">
        <v>71</v>
      </c>
      <c r="E414" t="s">
        <v>116</v>
      </c>
      <c r="F414">
        <v>2490.2199999999998</v>
      </c>
      <c r="G414">
        <v>23.4</v>
      </c>
    </row>
    <row r="415" spans="1:7" x14ac:dyDescent="0.25">
      <c r="A415" t="s">
        <v>113</v>
      </c>
      <c r="B415">
        <v>4920365</v>
      </c>
      <c r="C415">
        <v>2410721</v>
      </c>
      <c r="D415" t="s">
        <v>71</v>
      </c>
      <c r="E415" t="s">
        <v>116</v>
      </c>
      <c r="F415">
        <v>2493.2600000000002</v>
      </c>
      <c r="G415">
        <v>21.6</v>
      </c>
    </row>
    <row r="416" spans="1:7" x14ac:dyDescent="0.25">
      <c r="A416" t="s">
        <v>113</v>
      </c>
      <c r="B416">
        <v>4920365</v>
      </c>
      <c r="C416">
        <v>2410721</v>
      </c>
      <c r="D416" t="s">
        <v>71</v>
      </c>
      <c r="E416" t="s">
        <v>116</v>
      </c>
      <c r="F416">
        <v>2514.6</v>
      </c>
      <c r="G416">
        <v>18.100000000000001</v>
      </c>
    </row>
    <row r="417" spans="1:7" x14ac:dyDescent="0.25">
      <c r="A417" t="s">
        <v>113</v>
      </c>
      <c r="B417">
        <v>4920365</v>
      </c>
      <c r="C417">
        <v>2410721</v>
      </c>
      <c r="D417" t="s">
        <v>71</v>
      </c>
      <c r="E417" t="s">
        <v>21</v>
      </c>
      <c r="F417">
        <v>2660.9</v>
      </c>
      <c r="G417">
        <v>24.93333333</v>
      </c>
    </row>
    <row r="418" spans="1:7" x14ac:dyDescent="0.25">
      <c r="A418" t="s">
        <v>117</v>
      </c>
      <c r="B418">
        <v>4906083</v>
      </c>
      <c r="C418">
        <v>2419105</v>
      </c>
      <c r="D418" t="s">
        <v>71</v>
      </c>
      <c r="E418" t="s">
        <v>118</v>
      </c>
      <c r="F418">
        <v>1159.6116</v>
      </c>
      <c r="G418">
        <v>22</v>
      </c>
    </row>
    <row r="419" spans="1:7" x14ac:dyDescent="0.25">
      <c r="A419" t="s">
        <v>117</v>
      </c>
      <c r="B419">
        <v>4906083</v>
      </c>
      <c r="C419">
        <v>2419105</v>
      </c>
      <c r="D419" t="s">
        <v>71</v>
      </c>
      <c r="E419" t="s">
        <v>118</v>
      </c>
      <c r="F419">
        <v>1160.4955199999999</v>
      </c>
      <c r="G419">
        <v>8.8000000000000007</v>
      </c>
    </row>
    <row r="420" spans="1:7" x14ac:dyDescent="0.25">
      <c r="A420" t="s">
        <v>117</v>
      </c>
      <c r="B420">
        <v>4906083</v>
      </c>
      <c r="C420">
        <v>2419105</v>
      </c>
      <c r="D420" t="s">
        <v>71</v>
      </c>
      <c r="E420" t="s">
        <v>118</v>
      </c>
      <c r="F420">
        <v>1160.8308</v>
      </c>
      <c r="G420">
        <v>19.5</v>
      </c>
    </row>
    <row r="421" spans="1:7" x14ac:dyDescent="0.25">
      <c r="A421" t="s">
        <v>117</v>
      </c>
      <c r="B421">
        <v>4906083</v>
      </c>
      <c r="C421">
        <v>2419105</v>
      </c>
      <c r="D421" t="s">
        <v>71</v>
      </c>
      <c r="E421" t="s">
        <v>118</v>
      </c>
      <c r="F421">
        <v>1161.288</v>
      </c>
      <c r="G421">
        <v>11.2</v>
      </c>
    </row>
    <row r="422" spans="1:7" x14ac:dyDescent="0.25">
      <c r="A422" t="s">
        <v>117</v>
      </c>
      <c r="B422">
        <v>4906083</v>
      </c>
      <c r="C422">
        <v>2419105</v>
      </c>
      <c r="D422" t="s">
        <v>71</v>
      </c>
      <c r="E422" t="s">
        <v>118</v>
      </c>
      <c r="F422">
        <v>1161.8979999999999</v>
      </c>
      <c r="G422">
        <v>9</v>
      </c>
    </row>
    <row r="423" spans="1:7" x14ac:dyDescent="0.25">
      <c r="A423" t="s">
        <v>117</v>
      </c>
      <c r="B423">
        <v>4906083</v>
      </c>
      <c r="C423">
        <v>2419105</v>
      </c>
      <c r="D423" t="s">
        <v>71</v>
      </c>
      <c r="E423" t="s">
        <v>118</v>
      </c>
      <c r="F423">
        <v>1162.5070000000001</v>
      </c>
      <c r="G423">
        <v>16.7</v>
      </c>
    </row>
    <row r="424" spans="1:7" x14ac:dyDescent="0.25">
      <c r="A424" t="s">
        <v>117</v>
      </c>
      <c r="B424">
        <v>4906083</v>
      </c>
      <c r="C424">
        <v>2419105</v>
      </c>
      <c r="D424" t="s">
        <v>71</v>
      </c>
      <c r="E424" t="s">
        <v>118</v>
      </c>
      <c r="F424">
        <v>1165.7076</v>
      </c>
      <c r="G424">
        <v>15.2</v>
      </c>
    </row>
    <row r="425" spans="1:7" x14ac:dyDescent="0.25">
      <c r="A425" t="s">
        <v>117</v>
      </c>
      <c r="B425">
        <v>4906083</v>
      </c>
      <c r="C425">
        <v>2419105</v>
      </c>
      <c r="D425" t="s">
        <v>71</v>
      </c>
      <c r="E425" t="s">
        <v>118</v>
      </c>
      <c r="F425">
        <v>1166.0124000000001</v>
      </c>
      <c r="G425">
        <v>13.5</v>
      </c>
    </row>
    <row r="426" spans="1:7" x14ac:dyDescent="0.25">
      <c r="A426" t="s">
        <v>117</v>
      </c>
      <c r="B426">
        <v>4906083</v>
      </c>
      <c r="C426">
        <v>2419105</v>
      </c>
      <c r="D426" t="s">
        <v>71</v>
      </c>
      <c r="E426" t="s">
        <v>118</v>
      </c>
      <c r="F426">
        <v>1168.146</v>
      </c>
      <c r="G426">
        <v>17.7</v>
      </c>
    </row>
    <row r="427" spans="1:7" x14ac:dyDescent="0.25">
      <c r="A427" t="s">
        <v>117</v>
      </c>
      <c r="B427">
        <v>4906083</v>
      </c>
      <c r="C427">
        <v>2419105</v>
      </c>
      <c r="D427" t="s">
        <v>71</v>
      </c>
      <c r="E427" t="s">
        <v>95</v>
      </c>
      <c r="F427">
        <v>1263.2436</v>
      </c>
      <c r="G427">
        <v>23.1</v>
      </c>
    </row>
    <row r="428" spans="1:7" x14ac:dyDescent="0.25">
      <c r="A428" t="s">
        <v>117</v>
      </c>
      <c r="B428">
        <v>4906083</v>
      </c>
      <c r="C428">
        <v>2419105</v>
      </c>
      <c r="D428" t="s">
        <v>71</v>
      </c>
      <c r="E428" t="s">
        <v>95</v>
      </c>
      <c r="F428">
        <v>1264.92</v>
      </c>
      <c r="G428">
        <v>21</v>
      </c>
    </row>
    <row r="429" spans="1:7" x14ac:dyDescent="0.25">
      <c r="A429" t="s">
        <v>117</v>
      </c>
      <c r="B429">
        <v>4906083</v>
      </c>
      <c r="C429">
        <v>2419105</v>
      </c>
      <c r="D429" t="s">
        <v>71</v>
      </c>
      <c r="E429" t="s">
        <v>95</v>
      </c>
      <c r="F429">
        <v>1281.3789999999999</v>
      </c>
      <c r="G429">
        <v>24</v>
      </c>
    </row>
    <row r="430" spans="1:7" x14ac:dyDescent="0.25">
      <c r="A430" t="s">
        <v>117</v>
      </c>
      <c r="B430">
        <v>4906083</v>
      </c>
      <c r="C430">
        <v>2419105</v>
      </c>
      <c r="D430" t="s">
        <v>71</v>
      </c>
      <c r="E430" t="s">
        <v>95</v>
      </c>
      <c r="F430">
        <v>1286.2560000000001</v>
      </c>
      <c r="G430">
        <v>24</v>
      </c>
    </row>
    <row r="431" spans="1:7" x14ac:dyDescent="0.25">
      <c r="A431" t="s">
        <v>119</v>
      </c>
      <c r="B431">
        <v>4922860</v>
      </c>
      <c r="C431">
        <v>2363649</v>
      </c>
      <c r="D431" t="s">
        <v>71</v>
      </c>
      <c r="E431" t="s">
        <v>120</v>
      </c>
      <c r="F431">
        <v>2167.89</v>
      </c>
      <c r="G431">
        <v>18</v>
      </c>
    </row>
    <row r="432" spans="1:7" x14ac:dyDescent="0.25">
      <c r="A432" t="s">
        <v>119</v>
      </c>
      <c r="B432">
        <v>4922860</v>
      </c>
      <c r="C432">
        <v>2363649</v>
      </c>
      <c r="D432" t="s">
        <v>71</v>
      </c>
      <c r="E432" t="s">
        <v>120</v>
      </c>
      <c r="F432">
        <v>2334.31</v>
      </c>
      <c r="G432">
        <v>20.2</v>
      </c>
    </row>
    <row r="433" spans="1:7" x14ac:dyDescent="0.25">
      <c r="A433" t="s">
        <v>119</v>
      </c>
      <c r="B433">
        <v>4922860</v>
      </c>
      <c r="C433">
        <v>2363649</v>
      </c>
      <c r="D433" t="s">
        <v>71</v>
      </c>
      <c r="E433" t="s">
        <v>120</v>
      </c>
      <c r="F433">
        <v>2504.08</v>
      </c>
      <c r="G433">
        <v>8.5</v>
      </c>
    </row>
    <row r="434" spans="1:7" x14ac:dyDescent="0.25">
      <c r="A434" t="s">
        <v>119</v>
      </c>
      <c r="B434">
        <v>4922860</v>
      </c>
      <c r="C434">
        <v>2363649</v>
      </c>
      <c r="D434" t="s">
        <v>71</v>
      </c>
      <c r="E434" t="s">
        <v>120</v>
      </c>
      <c r="F434">
        <v>2772.16</v>
      </c>
      <c r="G434">
        <v>6.8333333329999997</v>
      </c>
    </row>
    <row r="435" spans="1:7" x14ac:dyDescent="0.25">
      <c r="A435" t="s">
        <v>119</v>
      </c>
      <c r="B435">
        <v>4922860</v>
      </c>
      <c r="C435">
        <v>2363649</v>
      </c>
      <c r="D435" t="s">
        <v>71</v>
      </c>
      <c r="E435" t="s">
        <v>120</v>
      </c>
      <c r="F435">
        <v>2909.62</v>
      </c>
      <c r="G435">
        <v>5.0999999999999996</v>
      </c>
    </row>
    <row r="436" spans="1:7" x14ac:dyDescent="0.25">
      <c r="A436" t="s">
        <v>119</v>
      </c>
      <c r="B436">
        <v>4922860</v>
      </c>
      <c r="C436">
        <v>2363649</v>
      </c>
      <c r="D436" t="s">
        <v>71</v>
      </c>
      <c r="E436" t="s">
        <v>120</v>
      </c>
      <c r="F436">
        <v>3179.83</v>
      </c>
      <c r="G436">
        <v>13.2</v>
      </c>
    </row>
    <row r="437" spans="1:7" x14ac:dyDescent="0.25">
      <c r="A437" t="s">
        <v>119</v>
      </c>
      <c r="B437">
        <v>4922860</v>
      </c>
      <c r="C437">
        <v>2363649</v>
      </c>
      <c r="D437" t="s">
        <v>71</v>
      </c>
      <c r="E437" t="s">
        <v>120</v>
      </c>
      <c r="F437">
        <v>3330.7</v>
      </c>
      <c r="G437">
        <v>22.15</v>
      </c>
    </row>
    <row r="438" spans="1:7" x14ac:dyDescent="0.25">
      <c r="A438" t="s">
        <v>121</v>
      </c>
      <c r="B438">
        <v>4935677</v>
      </c>
      <c r="C438">
        <v>2446576</v>
      </c>
      <c r="D438" t="s">
        <v>111</v>
      </c>
      <c r="E438" t="s">
        <v>95</v>
      </c>
      <c r="F438">
        <v>2591.41</v>
      </c>
      <c r="G438">
        <v>14.5</v>
      </c>
    </row>
    <row r="439" spans="1:7" x14ac:dyDescent="0.25">
      <c r="A439" t="s">
        <v>121</v>
      </c>
      <c r="B439">
        <v>4935677</v>
      </c>
      <c r="C439">
        <v>2446576</v>
      </c>
      <c r="D439" t="s">
        <v>111</v>
      </c>
      <c r="E439" t="s">
        <v>95</v>
      </c>
      <c r="F439">
        <v>2597.81</v>
      </c>
      <c r="G439">
        <v>22.1</v>
      </c>
    </row>
    <row r="440" spans="1:7" x14ac:dyDescent="0.25">
      <c r="A440" t="s">
        <v>122</v>
      </c>
      <c r="B440">
        <v>4926759</v>
      </c>
      <c r="C440">
        <v>2477840</v>
      </c>
      <c r="D440" t="s">
        <v>111</v>
      </c>
      <c r="E440" t="s">
        <v>73</v>
      </c>
      <c r="F440">
        <v>1250.5899999999999</v>
      </c>
      <c r="G440">
        <v>6.2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A09-E51C-4F85-B50D-7622756E9FD1}">
  <dimension ref="A3:G9"/>
  <sheetViews>
    <sheetView zoomScale="130" zoomScaleNormal="130" workbookViewId="0">
      <selection activeCell="G4" sqref="G4"/>
    </sheetView>
  </sheetViews>
  <sheetFormatPr baseColWidth="10" defaultColWidth="9.140625" defaultRowHeight="15" x14ac:dyDescent="0.25"/>
  <cols>
    <col min="1" max="1" width="13.140625" bestFit="1" customWidth="1"/>
    <col min="2" max="3" width="31.140625" bestFit="1" customWidth="1"/>
    <col min="4" max="4" width="29" bestFit="1" customWidth="1"/>
    <col min="5" max="5" width="14.7109375" bestFit="1" customWidth="1"/>
    <col min="6" max="6" width="23.28515625" bestFit="1" customWidth="1"/>
    <col min="7" max="7" width="15.140625" bestFit="1" customWidth="1"/>
    <col min="8" max="8" width="16.5703125" bestFit="1" customWidth="1"/>
    <col min="9" max="9" width="10.28515625" bestFit="1" customWidth="1"/>
    <col min="10" max="10" width="12" bestFit="1" customWidth="1"/>
    <col min="11" max="11" width="9" bestFit="1" customWidth="1"/>
    <col min="12" max="12" width="11" bestFit="1" customWidth="1"/>
    <col min="13" max="13" width="17.7109375" bestFit="1" customWidth="1"/>
    <col min="14" max="14" width="10.42578125" bestFit="1" customWidth="1"/>
    <col min="15" max="15" width="12" bestFit="1" customWidth="1"/>
    <col min="16" max="16" width="10" bestFit="1" customWidth="1"/>
    <col min="17" max="17" width="11" bestFit="1" customWidth="1"/>
    <col min="18" max="18" width="8.7109375" bestFit="1" customWidth="1"/>
    <col min="19" max="19" width="7" bestFit="1" customWidth="1"/>
    <col min="20" max="20" width="8" bestFit="1" customWidth="1"/>
    <col min="21" max="21" width="11.28515625" bestFit="1" customWidth="1"/>
    <col min="22" max="22" width="11" bestFit="1" customWidth="1"/>
    <col min="23" max="23" width="20.85546875" bestFit="1" customWidth="1"/>
    <col min="24" max="24" width="10" bestFit="1" customWidth="1"/>
    <col min="25" max="26" width="12" bestFit="1" customWidth="1"/>
    <col min="27" max="27" width="9" bestFit="1" customWidth="1"/>
    <col min="28" max="28" width="25.140625" bestFit="1" customWidth="1"/>
    <col min="29" max="29" width="12" bestFit="1" customWidth="1"/>
  </cols>
  <sheetData>
    <row r="3" spans="1:7" x14ac:dyDescent="0.25">
      <c r="A3" s="1" t="s">
        <v>42</v>
      </c>
      <c r="B3" t="s">
        <v>123</v>
      </c>
      <c r="C3" t="s">
        <v>124</v>
      </c>
      <c r="D3" t="s">
        <v>125</v>
      </c>
      <c r="F3" t="s">
        <v>154</v>
      </c>
      <c r="G3" t="s">
        <v>155</v>
      </c>
    </row>
    <row r="4" spans="1:7" x14ac:dyDescent="0.25">
      <c r="A4" s="2" t="s">
        <v>75</v>
      </c>
      <c r="B4" s="3">
        <v>8.2269801980198025</v>
      </c>
      <c r="C4" s="3">
        <v>4.6644817866419457</v>
      </c>
      <c r="D4" s="3">
        <v>202</v>
      </c>
      <c r="F4">
        <f>GETPIVOTDATA("Average of porosidad_porcentaje",$A$3,"formacion","La luna")-GETPIVOTDATA("StdDev of porosidad_porcentaje2",$A$3,"formacion","La luna")</f>
        <v>3.5624984113778568</v>
      </c>
      <c r="G4">
        <f>GETPIVOTDATA("Average of porosidad_porcentaje",$A$3,"formacion","La luna")+GETPIVOTDATA("StdDev of porosidad_porcentaje2",$A$3,"formacion","La luna")</f>
        <v>12.891461984661749</v>
      </c>
    </row>
    <row r="5" spans="1:7" x14ac:dyDescent="0.25">
      <c r="A5" s="2" t="s">
        <v>18</v>
      </c>
      <c r="B5" s="3">
        <v>16.3</v>
      </c>
      <c r="C5" s="3">
        <v>5.2325901807804511</v>
      </c>
      <c r="D5" s="3">
        <v>2</v>
      </c>
    </row>
    <row r="6" spans="1:7" x14ac:dyDescent="0.25">
      <c r="A6" s="2" t="s">
        <v>38</v>
      </c>
      <c r="B6" s="3">
        <v>2.7872727272727271</v>
      </c>
      <c r="C6" s="3">
        <v>4.1518087645405846</v>
      </c>
      <c r="D6" s="3">
        <v>22</v>
      </c>
    </row>
    <row r="7" spans="1:7" x14ac:dyDescent="0.25">
      <c r="A7" s="2" t="s">
        <v>105</v>
      </c>
      <c r="B7" s="3">
        <v>4.6727272727272728</v>
      </c>
      <c r="C7" s="3">
        <v>1.7849054445228862</v>
      </c>
      <c r="D7" s="3">
        <v>22</v>
      </c>
    </row>
    <row r="8" spans="1:7" x14ac:dyDescent="0.25">
      <c r="A8" s="2" t="s">
        <v>21</v>
      </c>
      <c r="B8" s="3">
        <v>21.871794871538459</v>
      </c>
      <c r="C8" s="3">
        <v>3.0780238412868273</v>
      </c>
      <c r="D8" s="3">
        <v>13</v>
      </c>
    </row>
    <row r="9" spans="1:7" x14ac:dyDescent="0.25">
      <c r="A9" s="2" t="s">
        <v>44</v>
      </c>
      <c r="B9" s="3">
        <v>8.2103575989655244</v>
      </c>
      <c r="C9" s="3">
        <v>5.6916721702347193</v>
      </c>
      <c r="D9" s="3">
        <v>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6E0D-1794-4CFC-BAEC-FFF5DC2ABE9D}">
  <dimension ref="A4:AC9"/>
  <sheetViews>
    <sheetView zoomScale="85" zoomScaleNormal="85" workbookViewId="0">
      <selection activeCell="C4" sqref="C4"/>
    </sheetView>
  </sheetViews>
  <sheetFormatPr baseColWidth="10" defaultColWidth="9.140625" defaultRowHeight="15" x14ac:dyDescent="0.25"/>
  <cols>
    <col min="2" max="2" width="10.85546875" bestFit="1" customWidth="1"/>
    <col min="3" max="16" width="9.7109375" customWidth="1"/>
    <col min="17" max="17" width="11" customWidth="1"/>
    <col min="29" max="29" width="10.7109375" customWidth="1"/>
  </cols>
  <sheetData>
    <row r="4" spans="1:29" ht="57.75" customHeight="1" x14ac:dyDescent="0.25">
      <c r="A4" s="7" t="s">
        <v>42</v>
      </c>
      <c r="B4" s="7" t="s">
        <v>123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137</v>
      </c>
      <c r="O4" s="8" t="s">
        <v>138</v>
      </c>
      <c r="P4" s="8" t="s">
        <v>139</v>
      </c>
      <c r="Q4" s="9" t="s">
        <v>140</v>
      </c>
      <c r="R4" s="9" t="s">
        <v>141</v>
      </c>
      <c r="S4" s="9" t="s">
        <v>142</v>
      </c>
      <c r="T4" s="9" t="s">
        <v>143</v>
      </c>
      <c r="U4" s="9" t="s">
        <v>144</v>
      </c>
      <c r="V4" s="9" t="s">
        <v>145</v>
      </c>
      <c r="W4" s="9" t="s">
        <v>146</v>
      </c>
      <c r="X4" s="9" t="s">
        <v>147</v>
      </c>
      <c r="Y4" s="9" t="s">
        <v>148</v>
      </c>
      <c r="Z4" s="9" t="s">
        <v>149</v>
      </c>
      <c r="AA4" s="9" t="s">
        <v>150</v>
      </c>
      <c r="AB4" s="9" t="s">
        <v>151</v>
      </c>
      <c r="AC4" s="9" t="s">
        <v>152</v>
      </c>
    </row>
    <row r="5" spans="1:29" x14ac:dyDescent="0.25">
      <c r="A5" s="2" t="s">
        <v>75</v>
      </c>
      <c r="B5" s="3">
        <v>8.2269801980198025</v>
      </c>
      <c r="F5">
        <v>23.6</v>
      </c>
      <c r="G5">
        <v>1.8</v>
      </c>
      <c r="I5">
        <v>6.8</v>
      </c>
      <c r="L5">
        <v>0</v>
      </c>
      <c r="M5">
        <v>5.6</v>
      </c>
      <c r="O5">
        <v>5.8</v>
      </c>
      <c r="P5">
        <v>62</v>
      </c>
      <c r="Q5">
        <f>((100-$B5)*(1000))*C5/100</f>
        <v>0</v>
      </c>
      <c r="R5">
        <f t="shared" ref="R5:AC8" si="0">((100-$B5)*(1000))*D5/100</f>
        <v>0</v>
      </c>
      <c r="S5">
        <f t="shared" si="0"/>
        <v>0</v>
      </c>
      <c r="T5">
        <f>((100-$B5)*(1000))*F5/100</f>
        <v>21658.432673267333</v>
      </c>
      <c r="U5">
        <f t="shared" si="0"/>
        <v>1651.9143564356439</v>
      </c>
      <c r="V5">
        <f t="shared" si="0"/>
        <v>0</v>
      </c>
      <c r="W5">
        <f t="shared" si="0"/>
        <v>6240.5653465346541</v>
      </c>
      <c r="X5">
        <f t="shared" si="0"/>
        <v>0</v>
      </c>
      <c r="Y5">
        <f t="shared" si="0"/>
        <v>0</v>
      </c>
      <c r="Z5">
        <f>((100-$B5)*(1000))*L5/100</f>
        <v>0</v>
      </c>
      <c r="AA5">
        <f t="shared" si="0"/>
        <v>5139.2891089108916</v>
      </c>
      <c r="AB5">
        <f t="shared" si="0"/>
        <v>0</v>
      </c>
      <c r="AC5">
        <f t="shared" si="0"/>
        <v>5322.8351485148514</v>
      </c>
    </row>
    <row r="6" spans="1:29" x14ac:dyDescent="0.25">
      <c r="A6" s="2" t="s">
        <v>18</v>
      </c>
      <c r="B6" s="3">
        <v>16.3</v>
      </c>
      <c r="C6">
        <v>32</v>
      </c>
      <c r="D6">
        <v>13</v>
      </c>
      <c r="F6">
        <v>20</v>
      </c>
      <c r="J6">
        <v>2</v>
      </c>
      <c r="K6">
        <v>1</v>
      </c>
      <c r="M6">
        <v>24</v>
      </c>
      <c r="N6">
        <v>4</v>
      </c>
      <c r="P6">
        <v>5</v>
      </c>
      <c r="Q6">
        <f>((100-$B6)*(1000))*C6/100</f>
        <v>26784</v>
      </c>
      <c r="R6">
        <f t="shared" si="0"/>
        <v>10881</v>
      </c>
      <c r="S6">
        <f t="shared" si="0"/>
        <v>0</v>
      </c>
      <c r="T6">
        <f t="shared" si="0"/>
        <v>16740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1674</v>
      </c>
      <c r="Y6">
        <f t="shared" si="0"/>
        <v>837</v>
      </c>
      <c r="Z6">
        <f t="shared" ref="Z6:Z8" si="1">((100-$B6)*(1000))*L6/100</f>
        <v>0</v>
      </c>
      <c r="AA6">
        <f t="shared" si="0"/>
        <v>20088</v>
      </c>
      <c r="AB6">
        <f t="shared" si="0"/>
        <v>3348</v>
      </c>
      <c r="AC6">
        <f t="shared" si="0"/>
        <v>0</v>
      </c>
    </row>
    <row r="7" spans="1:29" x14ac:dyDescent="0.25">
      <c r="A7" s="2" t="s">
        <v>38</v>
      </c>
      <c r="B7" s="3">
        <v>2.7872727272727271</v>
      </c>
      <c r="C7">
        <v>35.333333333333336</v>
      </c>
      <c r="D7">
        <v>0</v>
      </c>
      <c r="F7">
        <v>26.166666666666668</v>
      </c>
      <c r="G7">
        <v>0</v>
      </c>
      <c r="H7">
        <v>2</v>
      </c>
      <c r="I7">
        <v>26.666666666666668</v>
      </c>
      <c r="Q7">
        <f t="shared" ref="Q7:Q8" si="2">((100-$B7)*(1000))*C7/100</f>
        <v>34348.496969696971</v>
      </c>
      <c r="R7">
        <f t="shared" si="0"/>
        <v>0</v>
      </c>
      <c r="S7">
        <f t="shared" si="0"/>
        <v>0</v>
      </c>
      <c r="T7">
        <f t="shared" si="0"/>
        <v>25437.330303030307</v>
      </c>
      <c r="U7">
        <f t="shared" si="0"/>
        <v>0</v>
      </c>
      <c r="V7">
        <f t="shared" si="0"/>
        <v>1944.2545454545457</v>
      </c>
      <c r="W7">
        <f t="shared" si="0"/>
        <v>25923.39393939394</v>
      </c>
      <c r="X7">
        <f t="shared" si="0"/>
        <v>0</v>
      </c>
      <c r="Y7">
        <f t="shared" si="0"/>
        <v>0</v>
      </c>
      <c r="Z7">
        <f t="shared" si="1"/>
        <v>0</v>
      </c>
      <c r="AA7">
        <f t="shared" si="0"/>
        <v>0</v>
      </c>
      <c r="AB7">
        <f t="shared" si="0"/>
        <v>0</v>
      </c>
      <c r="AC7">
        <f t="shared" si="0"/>
        <v>0</v>
      </c>
    </row>
    <row r="8" spans="1:29" x14ac:dyDescent="0.25">
      <c r="A8" s="2" t="s">
        <v>105</v>
      </c>
      <c r="B8" s="3">
        <v>4.6727272727272728</v>
      </c>
      <c r="C8">
        <v>35.333333333333336</v>
      </c>
      <c r="D8">
        <v>0</v>
      </c>
      <c r="F8">
        <v>26.166666666666668</v>
      </c>
      <c r="G8">
        <v>0</v>
      </c>
      <c r="H8">
        <v>2</v>
      </c>
      <c r="I8">
        <v>26.666666666666668</v>
      </c>
      <c r="Q8">
        <f t="shared" si="2"/>
        <v>33682.303030303039</v>
      </c>
      <c r="R8">
        <f t="shared" si="0"/>
        <v>0</v>
      </c>
      <c r="S8">
        <f t="shared" si="0"/>
        <v>0</v>
      </c>
      <c r="T8">
        <f t="shared" si="0"/>
        <v>24943.969696969703</v>
      </c>
      <c r="U8">
        <f t="shared" si="0"/>
        <v>0</v>
      </c>
      <c r="V8">
        <f t="shared" si="0"/>
        <v>1906.5454545454547</v>
      </c>
      <c r="W8">
        <f t="shared" si="0"/>
        <v>25420.606060606064</v>
      </c>
      <c r="X8">
        <f t="shared" si="0"/>
        <v>0</v>
      </c>
      <c r="Y8">
        <f t="shared" si="0"/>
        <v>0</v>
      </c>
      <c r="Z8">
        <f t="shared" si="1"/>
        <v>0</v>
      </c>
      <c r="AA8">
        <f t="shared" si="0"/>
        <v>0</v>
      </c>
      <c r="AB8">
        <f t="shared" si="0"/>
        <v>0</v>
      </c>
      <c r="AC8">
        <f t="shared" si="0"/>
        <v>0</v>
      </c>
    </row>
    <row r="9" spans="1:29" x14ac:dyDescent="0.25">
      <c r="G9" s="2"/>
      <c r="H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Agua_mg</vt:lpstr>
      <vt:lpstr>TD_Agua(mg)</vt:lpstr>
      <vt:lpstr>Roca</vt:lpstr>
      <vt:lpstr>TD_Roca(%wgt)</vt:lpstr>
      <vt:lpstr>Sheet5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Rendón Algecira</cp:lastModifiedBy>
  <dcterms:created xsi:type="dcterms:W3CDTF">2026-05-25T19:57:40Z</dcterms:created>
  <dcterms:modified xsi:type="dcterms:W3CDTF">2026-05-28T22:22:07Z</dcterms:modified>
</cp:coreProperties>
</file>